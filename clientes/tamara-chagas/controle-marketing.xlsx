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946c4dd244e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 Semanal" sheetId="1" r:id="R032c9772ce0d425b"/>
    <x:sheet xmlns:r="http://schemas.openxmlformats.org/officeDocument/2006/relationships" name="Checklist Diário" sheetId="2" r:id="Rb1b11c4d3e3742f7"/>
    <x:sheet xmlns:r="http://schemas.openxmlformats.org/officeDocument/2006/relationships" name="Banco de Pautas" sheetId="3" r:id="R18d6eb5bc2f04c96"/>
    <x:sheet xmlns:r="http://schemas.openxmlformats.org/officeDocument/2006/relationships" name="Fontes Oficiais" sheetId="4" r:id="R2dccf2d4824a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%"/>
    <x:numFmt numFmtId="202" formatCode="0"/>
  </x:numFmts>
  <x:fonts count="8">
    <x:font>
      <x:sz val="11"/>
      <x:name val="Carlito"/>
    </x:font>
    <x:font>
      <x:sz val="10"/>
      <x:color rgb="FF1F1F1F"/>
      <x:name val="Arial"/>
    </x:font>
    <x:font>
      <x:b/>
      <x:sz val="15"/>
      <x:color rgb="FF17365D"/>
      <x:name val="Arial"/>
    </x:font>
    <x:font>
      <x:b/>
      <x:sz val="10"/>
      <x:color rgb="FF17365D"/>
      <x:name val="Arial"/>
    </x:font>
    <x:font>
      <x:b/>
      <x:sz val="10"/>
      <x:color rgb="FF1F1F1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9E6"/>
      </x:patternFill>
    </x:fill>
    <x:fill>
      <x:patternFill patternType="solid">
        <x:fgColor rgb="FFFFFFFF"/>
      </x:patternFill>
    </x:fill>
  </x:fills>
  <x:borders count="16">
    <x:border/>
    <x:border>
      <x:bottom style="thin">
        <x:color rgb="FF2F75B5"/>
      </x:bottom>
    </x:border>
    <x:border>
      <x:left style="thin">
        <x:color rgb="FFD6A84B"/>
      </x:left>
      <x:right style="thin">
        <x:color rgb="FFD6A84B"/>
      </x:right>
      <x:top style="thin">
        <x:color rgb="FFD6A84B"/>
      </x:top>
      <x:bottom style="thin">
        <x:color rgb="FFD6A84B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D9E2F3"/>
      </x:bottom>
    </x:border>
  </x:borders>
  <x:cellStyleXfs count="1">
    <x:xf numFmtId="0" fontId="0" fillId="0" borderId="0"/>
  </x:cellStyleXfs>
  <x:cellXfs count="1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5" fillId="0" borderId="0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1" fillId="0" borderId="4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 applyAlignment="1">
      <x:alignment horizontal="center"/>
    </x:xf>
    <x:xf numFmtId="201" fontId="1" fillId="0" borderId="5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4" xfId="0" applyNumberFormat="1" applyFont="1" applyFill="1" applyBorder="1"/>
    <x:xf numFmtId="201" fontId="1" fillId="0" borderId="5" xfId="0" applyNumberFormat="1" applyFont="1" applyFill="1" applyBorder="1"/>
    <x:xf numFmtId="201" fontId="1" fillId="0" borderId="4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1" fillId="4" borderId="6" xfId="0" applyNumberFormat="1" applyFont="1" applyFill="1" applyBorder="1"/>
    <x:xf numFmtId="0" fontId="1" fillId="4" borderId="7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4" borderId="10" xfId="0" applyNumberFormat="1" applyFont="1" applyFill="1" applyBorder="1"/>
    <x:xf numFmtId="0" fontId="1" fillId="4" borderId="11" xfId="0" applyNumberFormat="1" applyFont="1" applyFill="1" applyBorder="1"/>
    <x:xf numFmtId="0" fontId="1" fillId="4" borderId="4" xfId="0" applyNumberFormat="1" applyFont="1" applyFill="1" applyBorder="1"/>
    <x:xf numFmtId="0" fontId="1" fillId="4" borderId="12" xfId="0" applyNumberFormat="1" applyFont="1" applyFill="1" applyBorder="1"/>
    <x:xf numFmtId="0" fontId="1" fillId="4" borderId="6" xfId="0" applyNumberFormat="1" applyFont="1" applyFill="1" applyBorder="1" applyAlignment="1">
      <x:alignment wrapText="1"/>
    </x:xf>
    <x:xf numFmtId="0" fontId="1" fillId="4" borderId="7" xfId="0" applyNumberFormat="1" applyFont="1" applyFill="1" applyBorder="1" applyAlignment="1">
      <x:alignment wrapText="1"/>
    </x:xf>
    <x:xf numFmtId="0" fontId="1" fillId="4" borderId="8" xfId="0" applyNumberFormat="1" applyFont="1" applyFill="1" applyBorder="1" applyAlignment="1">
      <x:alignment wrapText="1"/>
    </x:xf>
    <x:xf numFmtId="0" fontId="1" fillId="4" borderId="9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0" xfId="0" applyNumberFormat="1" applyFont="1" applyFill="1" applyBorder="1" applyAlignment="1">
      <x:alignment wrapText="1"/>
    </x:xf>
    <x:xf numFmtId="0" fontId="1" fillId="4" borderId="11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wrapText="1"/>
    </x:xf>
    <x:xf numFmtId="0" fontId="1" fillId="4" borderId="12" xfId="0" applyNumberFormat="1" applyFont="1" applyFill="1" applyBorder="1" applyAlignment="1">
      <x:alignment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0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4" borderId="1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4" fillId="2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horizontal="center" vertical="center"/>
    </x:xf>
    <x:xf numFmtId="201" fontId="1" fillId="0" borderId="4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/>
    <x:xf numFmtId="0" fontId="1" fillId="0" borderId="13" xfId="0" applyNumberFormat="1" applyFont="1" applyFill="1" applyBorder="1"/>
    <x:xf numFmtId="202" fontId="1" fillId="0" borderId="13" xfId="0" applyNumberFormat="1" applyFont="1" applyFill="1" applyBorder="1"/>
    <x:xf numFmtId="0" fontId="1" fillId="0" borderId="14" xfId="0" applyNumberFormat="1" applyFont="1" applyFill="1" applyBorder="1"/>
    <x:xf numFmtId="202" fontId="1" fillId="0" borderId="14" xfId="0" applyNumberFormat="1" applyFont="1" applyFill="1" applyBorder="1"/>
    <x:xf numFmtId="0" fontId="1" fillId="0" borderId="15" xfId="0" applyNumberFormat="1" applyFont="1" applyFill="1" applyBorder="1"/>
    <x:xf numFmtId="202" fontId="1" fillId="0" borderId="15" xfId="0" applyNumberFormat="1" applyFont="1" applyFill="1" applyBorder="1"/>
    <x:xf numFmtId="0" fontId="1" fillId="0" borderId="13" xfId="0" applyNumberFormat="1" applyFont="1" applyFill="1" applyBorder="1" applyAlignment="1">
      <x:alignment vertical="center"/>
    </x:xf>
    <x:xf numFmtId="202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202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202" fontId="1" fillId="0" borderId="15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2" borderId="13" xfId="0" applyNumberFormat="1" applyFont="1" applyFill="1" applyBorder="1" applyAlignment="1">
      <x:alignment vertical="center"/>
    </x:xf>
    <x:xf numFmtId="0" fontId="1" fillId="2" borderId="14" xfId="0" applyNumberFormat="1" applyFont="1" applyFill="1" applyBorder="1" applyAlignment="1">
      <x:alignment vertical="center"/>
    </x:xf>
    <x:xf numFmtId="0" fontId="1" fillId="2" borderId="15" xfId="0" applyNumberFormat="1" applyFont="1" applyFill="1" applyBorder="1" applyAlignment="1">
      <x:alignment vertical="center"/>
    </x:xf>
    <x:xf numFmtId="202" fontId="1" fillId="5" borderId="13" xfId="0" applyNumberFormat="1" applyFont="1" applyFill="1" applyBorder="1" applyAlignment="1">
      <x:alignment vertical="center"/>
    </x:xf>
    <x:xf numFmtId="0" fontId="1" fillId="5" borderId="13" xfId="0" applyNumberFormat="1" applyFont="1" applyFill="1" applyBorder="1" applyAlignment="1">
      <x:alignment vertical="center"/>
    </x:xf>
    <x:xf numFmtId="202" fontId="1" fillId="5" borderId="14" xfId="0" applyNumberFormat="1" applyFont="1" applyFill="1" applyBorder="1" applyAlignment="1">
      <x:alignment vertical="center"/>
    </x:xf>
    <x:xf numFmtId="0" fontId="1" fillId="5" borderId="14" xfId="0" applyNumberFormat="1" applyFont="1" applyFill="1" applyBorder="1" applyAlignment="1">
      <x:alignment vertical="center"/>
    </x:xf>
    <x:xf numFmtId="202" fontId="1" fillId="5" borderId="15" xfId="0" applyNumberFormat="1" applyFont="1" applyFill="1" applyBorder="1" applyAlignment="1">
      <x:alignment vertical="center"/>
    </x:xf>
    <x:xf numFmtId="0" fontId="1" fillId="5" borderId="15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3" fillId="0" borderId="14" xfId="0" applyNumberFormat="1" applyFont="1" applyFill="1" applyBorder="1" applyAlignment="1">
      <x:alignment vertical="center"/>
    </x:xf>
    <x:xf numFmtId="0" fontId="3" fillId="0" borderId="15" xfId="0" applyNumberFormat="1" applyFont="1" applyFill="1" applyBorder="1" applyAlignment="1">
      <x:alignment vertical="center"/>
    </x:xf>
    <x:xf numFmtId="202" fontId="1" fillId="0" borderId="13" xfId="0" applyNumberFormat="1" applyFont="1" applyFill="1" applyBorder="1" applyAlignment="1">
      <x:alignment horizontal="center" vertical="center"/>
    </x:xf>
    <x:xf numFmtId="202" fontId="1" fillId="5" borderId="13" xfId="0" applyNumberFormat="1" applyFont="1" applyFill="1" applyBorder="1" applyAlignment="1">
      <x:alignment horizontal="center" vertical="center"/>
    </x:xf>
    <x:xf numFmtId="0" fontId="1" fillId="5" borderId="13" xfId="0" applyNumberFormat="1" applyFont="1" applyFill="1" applyBorder="1" applyAlignment="1">
      <x:alignment horizontal="center" vertical="center"/>
    </x:xf>
    <x:xf numFmtId="202" fontId="1" fillId="0" borderId="14" xfId="0" applyNumberFormat="1" applyFont="1" applyFill="1" applyBorder="1" applyAlignment="1">
      <x:alignment horizontal="center" vertical="center"/>
    </x:xf>
    <x:xf numFmtId="202" fontId="1" fillId="5" borderId="14" xfId="0" applyNumberFormat="1" applyFont="1" applyFill="1" applyBorder="1" applyAlignment="1">
      <x:alignment horizontal="center" vertical="center"/>
    </x:xf>
    <x:xf numFmtId="0" fontId="1" fillId="5" borderId="14" xfId="0" applyNumberFormat="1" applyFont="1" applyFill="1" applyBorder="1" applyAlignment="1">
      <x:alignment horizontal="center" vertical="center"/>
    </x:xf>
    <x:xf numFmtId="202" fontId="1" fillId="0" borderId="15" xfId="0" applyNumberFormat="1" applyFont="1" applyFill="1" applyBorder="1" applyAlignment="1">
      <x:alignment horizontal="center" vertical="center"/>
    </x:xf>
    <x:xf numFmtId="202" fontId="1" fillId="5" borderId="15" xfId="0" applyNumberFormat="1" applyFont="1" applyFill="1" applyBorder="1" applyAlignment="1">
      <x:alignment horizontal="center" vertical="center"/>
    </x:xf>
    <x:xf numFmtId="0" fontId="1" fillId="5" borderId="15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1" fillId="0" borderId="13" xfId="0" applyNumberFormat="1" applyFont="1" applyFill="1" applyBorder="1"/>
    <x:xf numFmtId="200" fontId="1" fillId="0" borderId="14" xfId="0" applyNumberFormat="1" applyFont="1" applyFill="1" applyBorder="1"/>
    <x:xf numFmtId="200" fontId="1" fillId="0" borderId="15" xfId="0" applyNumberFormat="1" applyFont="1" applyFill="1" applyBorder="1"/>
    <x:xf numFmtId="200" fontId="1" fillId="0" borderId="13" xfId="0" applyNumberFormat="1" applyFont="1" applyFill="1" applyBorder="1" applyAlignment="1">
      <x:alignment vertical="center"/>
    </x:xf>
    <x:xf numFmtId="200" fontId="1" fillId="0" borderId="14" xfId="0" applyNumberFormat="1" applyFont="1" applyFill="1" applyBorder="1" applyAlignment="1">
      <x:alignment vertical="center"/>
    </x:xf>
    <x:xf numFmtId="200" fontId="1" fillId="0" borderId="15" xfId="0" applyNumberFormat="1" applyFont="1" applyFill="1" applyBorder="1" applyAlignment="1">
      <x:alignment vertical="center"/>
    </x:xf>
    <x:xf numFmtId="200" fontId="1" fillId="2" borderId="13" xfId="0" applyNumberFormat="1" applyFont="1" applyFill="1" applyBorder="1" applyAlignment="1">
      <x:alignment vertical="center"/>
    </x:xf>
    <x:xf numFmtId="200" fontId="1" fillId="2" borderId="14" xfId="0" applyNumberFormat="1" applyFont="1" applyFill="1" applyBorder="1" applyAlignment="1">
      <x:alignment vertical="center"/>
    </x:xf>
    <x:xf numFmtId="200" fontId="1" fillId="2" borderId="15" xfId="0" applyNumberFormat="1" applyFont="1" applyFill="1" applyBorder="1" applyAlignment="1">
      <x:alignment vertical="center"/>
    </x:xf>
    <x:xf numFmtId="0" fontId="1" fillId="6" borderId="13" xfId="0" applyNumberFormat="1" applyFont="1" applyFill="1" applyBorder="1" applyAlignment="1">
      <x:alignment vertical="center" wrapText="1"/>
    </x:xf>
    <x:xf numFmtId="0" fontId="1" fillId="6" borderId="13" xfId="0" applyNumberFormat="1" applyFont="1" applyFill="1" applyBorder="1" applyAlignment="1">
      <x:alignment vertical="center"/>
    </x:xf>
    <x:xf numFmtId="200" fontId="1" fillId="6" borderId="13" xfId="0" applyNumberFormat="1" applyFont="1" applyFill="1" applyBorder="1" applyAlignment="1">
      <x:alignment vertical="center"/>
    </x:xf>
    <x:xf numFmtId="0" fontId="1" fillId="6" borderId="14" xfId="0" applyNumberFormat="1" applyFont="1" applyFill="1" applyBorder="1" applyAlignment="1">
      <x:alignment vertical="center" wrapText="1"/>
    </x:xf>
    <x:xf numFmtId="0" fontId="1" fillId="6" borderId="14" xfId="0" applyNumberFormat="1" applyFont="1" applyFill="1" applyBorder="1" applyAlignment="1">
      <x:alignment vertical="center"/>
    </x:xf>
    <x:xf numFmtId="200" fontId="1" fillId="6" borderId="14" xfId="0" applyNumberFormat="1" applyFont="1" applyFill="1" applyBorder="1" applyAlignment="1">
      <x:alignment vertical="center"/>
    </x:xf>
    <x:xf numFmtId="0" fontId="1" fillId="6" borderId="15" xfId="0" applyNumberFormat="1" applyFont="1" applyFill="1" applyBorder="1" applyAlignment="1">
      <x:alignment vertical="center" wrapText="1"/>
    </x:xf>
    <x:xf numFmtId="0" fontId="1" fillId="6" borderId="15" xfId="0" applyNumberFormat="1" applyFont="1" applyFill="1" applyBorder="1" applyAlignment="1">
      <x:alignment vertical="center"/>
    </x:xf>
    <x:xf numFmtId="200" fontId="1" fillId="6" borderId="15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1" fillId="0" borderId="13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  <x:xf numFmtId="0" fontId="1" fillId="0" borderId="15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2" xfId="0" applyNumberFormat="1" applyFont="1" applyFill="1" applyBorder="1"/>
    <x:xf numFmtId="0" fontId="7" fillId="2" borderId="2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376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6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376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6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6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02516eae34c82" /><Relationship Type="http://schemas.openxmlformats.org/officeDocument/2006/relationships/theme" Target="/xl/theme/theme1.xml" Id="R52a9a4f7f23d4007" /><Relationship Type="http://schemas.openxmlformats.org/officeDocument/2006/relationships/sharedStrings" Target="/xl/sharedStrings.xml" Id="Ra06af2ea5cd048f1" /><Relationship Type="http://schemas.openxmlformats.org/officeDocument/2006/relationships/worksheet" Target="/xl/worksheets/sheet1.xml" Id="R032c9772ce0d425b" /><Relationship Type="http://schemas.openxmlformats.org/officeDocument/2006/relationships/worksheet" Target="/xl/worksheets/sheet2.xml" Id="Rb1b11c4d3e3742f7" /><Relationship Type="http://schemas.openxmlformats.org/officeDocument/2006/relationships/worksheet" Target="/xl/worksheets/sheet3.xml" Id="R18d6eb5bc2f04c96" /><Relationship Type="http://schemas.openxmlformats.org/officeDocument/2006/relationships/worksheet" Target="/xl/worksheets/sheet4.xml" Id="R2dccf2d4824a4c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27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" customHeight="1">
      <x:c r="A2" s="3" t="str">
        <x:v>Controle semanal de produção de conteúdo</x:v>
      </x:c>
      <x:c r="B2" s="3" t="str">
        <x:v>Controle semanal de produção de conteúdo</x:v>
      </x:c>
      <x:c r="C2" s="3" t="str">
        <x:v>Controle semanal de produção de conteúdo</x:v>
      </x:c>
      <x:c r="D2" s="3" t="str">
        <x:v>Controle semanal de produção de conteúdo</x:v>
      </x:c>
      <x:c r="E2" s="3" t="str">
        <x:v>Controle semanal de produção de conteúdo</x:v>
      </x:c>
      <x:c r="F2" s="3" t="str">
        <x:v>Controle semanal de produção de conteúdo</x:v>
      </x:c>
      <x:c r="G2" s="3" t="str">
        <x:v>Controle semanal de produção de conteúdo</x:v>
      </x:c>
      <x:c r="H2" s="3" t="str">
        <x:v>Controle semanal de produção de conteúdo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6"/>
      <x:c r="B3" s="56"/>
      <x:c r="C3" s="56"/>
      <x:c r="D3" s="56"/>
      <x:c r="E3" s="56"/>
      <x:c r="F3" s="56"/>
      <x:c r="G3" s="56"/>
      <x:c r="H3" s="56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57" t="str">
        <x:v>Semana de:</x:v>
      </x:c>
      <x:c r="B4" s="58" t="str"/>
      <x:c r="C4" s="55"/>
      <x:c r="D4" s="59" t="str">
        <x:v>Preencha a semana e atualize diariamente o Checklist Diário.</x:v>
      </x:c>
      <x:c r="E4" s="55"/>
      <x:c r="F4" s="55"/>
      <x:c r="G4" s="55"/>
      <x:c r="H4" s="55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55"/>
      <x:c r="B5" s="55"/>
      <x:c r="C5" s="55"/>
      <x:c r="D5" s="55"/>
      <x:c r="E5" s="55"/>
      <x:c r="F5" s="55"/>
      <x:c r="G5" s="55"/>
      <x:c r="H5" s="55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6" t="str">
        <x:v>Indicador</x:v>
      </x:c>
      <x:c r="B6" s="16" t="str">
        <x:v>Resultado</x:v>
      </x:c>
      <x:c r="C6" s="16" t="str">
        <x:v>Meta semanal</x:v>
      </x:c>
      <x:c r="D6" s="16" t="str">
        <x:v>Situação</x:v>
      </x:c>
      <x:c r="E6" s="16" t="str">
        <x:v>Como comprovar</x:v>
      </x:c>
      <x:c r="F6" s="16" t="str">
        <x:v>Observação</x:v>
      </x:c>
      <x:c r="G6" s="55"/>
      <x:c r="H6" s="55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60" t="str">
        <x:v>Tarefas concluídas</x:v>
      </x:c>
      <x:c r="B7" s="61" t="n">
        <x:f>SUM('Checklist Diário'!$I$6:$I$75)</x:f>
        <x:v>0</x:v>
      </x:c>
      <x:c r="C7" s="61" t="n">
        <x:v>70</x:v>
      </x:c>
      <x:c r="D7" s="61" t="str">
        <x:f>IF(B7&gt;=C7,"Meta atingida","Atenção")</x:f>
        <x:v>Atenção</x:v>
      </x:c>
      <x:c r="E7" s="62" t="str">
        <x:v>Status e evidência no checklist</x:v>
      </x:c>
      <x:c r="F7" s="62" t="str"/>
      <x:c r="G7" s="55"/>
      <x:c r="H7" s="55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63" t="str">
        <x:v>Tarefas previstas</x:v>
      </x:c>
      <x:c r="B8" s="64" t="n">
        <x:f>COUNTA('Checklist Diário'!$D$6:$D$75)</x:f>
        <x:v>70</x:v>
      </x:c>
      <x:c r="C8" s="64" t="n">
        <x:v>70</x:v>
      </x:c>
      <x:c r="D8" s="64" t="str">
        <x:f>IF(B8=C8,"Planejamento completo","Revisar")</x:f>
        <x:v>Planejamento completo</x:v>
      </x:c>
      <x:c r="E8" s="65" t="str">
        <x:v>Linhas preenchidas no checklist</x:v>
      </x:c>
      <x:c r="F8" s="65" t="str"/>
      <x:c r="G8" s="55"/>
      <x:c r="H8" s="55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63" t="str">
        <x:v>Cumprimento semanal</x:v>
      </x:c>
      <x:c r="B9" s="66" t="n">
        <x:f>IFERROR(B7/B8,0)</x:f>
        <x:v>0</x:v>
      </x:c>
      <x:c r="C9" s="66" t="n">
        <x:v>1</x:v>
      </x:c>
      <x:c r="D9" s="64" t="str">
        <x:f>IF(B9&gt;=C9,"Meta atingida","Atenção")</x:f>
        <x:v>Atenção</x:v>
      </x:c>
      <x:c r="E9" s="65" t="str">
        <x:v>Cálculo automático</x:v>
      </x:c>
      <x:c r="F9" s="65" t="str">
        <x:v>Meta ideal: 100%</x:v>
      </x:c>
      <x:c r="G9" s="55"/>
      <x:c r="H9" s="55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63" t="str">
        <x:v>Reels publicados</x:v>
      </x:c>
      <x:c r="B10" s="64" t="n">
        <x:f>SUMIF('Checklist Diário'!$D$6:$D$75,"Publicar Reel principal",'Checklist Diário'!$F$6:$F$75)</x:f>
        <x:v>0</x:v>
      </x:c>
      <x:c r="C10" s="64" t="n">
        <x:v>5</x:v>
      </x:c>
      <x:c r="D10" s="64" t="str">
        <x:f>IF(B10&gt;=C10,"Meta atingida","Atenção")</x:f>
        <x:v>Atenção</x:v>
      </x:c>
      <x:c r="E10" s="65" t="str">
        <x:v>Link do post</x:v>
      </x:c>
      <x:c r="F10" s="65" t="str">
        <x:v>1 por dia útil</x:v>
      </x:c>
      <x:c r="G10" s="55"/>
      <x:c r="H10" s="55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63" t="str">
        <x:v>Stories publicados</x:v>
      </x:c>
      <x:c r="B11" s="64" t="n">
        <x:f>SUMIF('Checklist Diário'!$D$6:$D$75,"Publicar Stories",'Checklist Diário'!$F$6:$F$75)</x:f>
        <x:v>0</x:v>
      </x:c>
      <x:c r="C11" s="64" t="n">
        <x:v>50</x:v>
      </x:c>
      <x:c r="D11" s="64" t="str">
        <x:f>IF(B11&gt;=C11,"Meta atingida","Atenção")</x:f>
        <x:v>Atenção</x:v>
      </x:c>
      <x:c r="E11" s="65" t="str">
        <x:v>Print ou link dos Stories</x:v>
      </x:c>
      <x:c r="F11" s="65" t="str">
        <x:v>Mínimo de 8 a 12 por dia</x:v>
      </x:c>
      <x:c r="G11" s="55"/>
      <x:c r="H11" s="55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63" t="str">
        <x:v>Vídeos de localização</x:v>
      </x:c>
      <x:c r="B12" s="64" t="n">
        <x:f>SUMIF('Checklist Diário'!$D$6:$D$75,"Gravar vídeo de localização",'Checklist Diário'!$F$6:$F$75)</x:f>
        <x:v>0</x:v>
      </x:c>
      <x:c r="C12" s="64" t="n">
        <x:v>5</x:v>
      </x:c>
      <x:c r="D12" s="64" t="str">
        <x:f>IF(B12&gt;=C12,"Meta atingida","Atenção")</x:f>
        <x:v>Atenção</x:v>
      </x:c>
      <x:c r="E12" s="65" t="str">
        <x:v>Nome do arquivo ou link</x:v>
      </x:c>
      <x:c r="F12" s="65" t="str">
        <x:v>Variar referências e percurso</x:v>
      </x:c>
      <x:c r="G12" s="55"/>
      <x:c r="H12" s="55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6" t="str">
        <x:v>Dia</x:v>
      </x:c>
      <x:c r="B15" s="16" t="str">
        <x:v>Cumprimento</x:v>
      </x:c>
      <x:c r="C15" s="16" t="str">
        <x:v>Tarefas concluídas</x:v>
      </x:c>
      <x:c r="D15" s="16" t="str">
        <x:v>Stories publicados</x:v>
      </x:c>
      <x:c r="E15" s="55"/>
      <x:c r="F15" s="16" t="str">
        <x:v>Regras de gestão</x:v>
      </x:c>
      <x:c r="G15" s="16"/>
      <x:c r="H15" s="16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62" t="str">
        <x:v>Segunda-feira</x:v>
      </x:c>
      <x:c r="B16" s="67" t="n">
        <x:f>IFERROR(SUMIF('Checklist Diário'!$A$6:$A$75,A16,'Checklist Diário'!$I$6:$I$75)/COUNTIF('Checklist Diário'!$A$6:$A$75,A16),0)</x:f>
        <x:v>0</x:v>
      </x:c>
      <x:c r="C16" s="61" t="n">
        <x:f>SUMIF('Checklist Diário'!$A$6:$A$75,A16,'Checklist Diário'!$I$6:$I$75)</x:f>
        <x:v>0</x:v>
      </x:c>
      <x:c r="D16" s="61" t="n">
        <x:f>SUMIFS('Checklist Diário'!$F$6:$F$75,'Checklist Diário'!$A$6:$A$75,A16,'Checklist Diário'!$D$6:$D$75,"Publicar Stories")</x:f>
        <x:v>0</x:v>
      </x:c>
      <x:c r="E16" s="55"/>
      <x:c r="F16" s="46" t="str">
        <x:v>1. Toda entrega deve ter evidência.</x:v>
      </x:c>
      <x:c r="G16" s="47"/>
      <x:c r="H16" s="48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65" t="str">
        <x:v>Terça-feira</x:v>
      </x:c>
      <x:c r="B17" s="66" t="n">
        <x:f>IFERROR(SUMIF('Checklist Diário'!$A$6:$A$75,A17,'Checklist Diário'!$I$6:$I$75)/COUNTIF('Checklist Diário'!$A$6:$A$75,A17),0)</x:f>
        <x:v>0</x:v>
      </x:c>
      <x:c r="C17" s="64" t="n">
        <x:f>SUMIF('Checklist Diário'!$A$6:$A$75,A17,'Checklist Diário'!$I$6:$I$75)</x:f>
        <x:v>0</x:v>
      </x:c>
      <x:c r="D17" s="64" t="n">
        <x:f>SUMIFS('Checklist Diário'!$F$6:$F$75,'Checklist Diário'!$A$6:$A$75,A17,'Checklist Diário'!$D$6:$D$75,"Publicar Stories")</x:f>
        <x:v>0</x:v>
      </x:c>
      <x:c r="E17" s="55"/>
      <x:c r="F17" s="49" t="str">
        <x:v>2. Decisão judicial exige conferência e aprovação jurídica.</x:v>
      </x:c>
      <x:c r="G17" s="50"/>
      <x:c r="H17" s="5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65" t="str">
        <x:v>Quarta-feira</x:v>
      </x:c>
      <x:c r="B18" s="66" t="n">
        <x:f>IFERROR(SUMIF('Checklist Diário'!$A$6:$A$75,A18,'Checklist Diário'!$I$6:$I$75)/COUNTIF('Checklist Diário'!$A$6:$A$75,A18),0)</x:f>
        <x:v>0</x:v>
      </x:c>
      <x:c r="C18" s="64" t="n">
        <x:f>SUMIF('Checklist Diário'!$A$6:$A$75,A18,'Checklist Diário'!$I$6:$I$75)</x:f>
        <x:v>0</x:v>
      </x:c>
      <x:c r="D18" s="64" t="n">
        <x:f>SUMIFS('Checklist Diário'!$F$6:$F$75,'Checklist Diário'!$A$6:$A$75,A18,'Checklist Diário'!$D$6:$D$75,"Publicar Stories")</x:f>
        <x:v>0</x:v>
      </x:c>
      <x:c r="E18" s="55"/>
      <x:c r="F18" s="49" t="str">
        <x:v>3. Não gravar cliente ou documento sem autorização.</x:v>
      </x:c>
      <x:c r="G18" s="50"/>
      <x:c r="H18" s="5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65" t="str">
        <x:v>Quinta-feira</x:v>
      </x:c>
      <x:c r="B19" s="66" t="n">
        <x:f>IFERROR(SUMIF('Checklist Diário'!$A$6:$A$75,A19,'Checklist Diário'!$I$6:$I$75)/COUNTIF('Checklist Diário'!$A$6:$A$75,A19),0)</x:f>
        <x:v>0</x:v>
      </x:c>
      <x:c r="C19" s="64" t="n">
        <x:f>SUMIF('Checklist Diário'!$A$6:$A$75,A19,'Checklist Diário'!$I$6:$I$75)</x:f>
        <x:v>0</x:v>
      </x:c>
      <x:c r="D19" s="64" t="n">
        <x:f>SUMIFS('Checklist Diário'!$F$6:$F$75,'Checklist Diário'!$A$6:$A$75,A19,'Checklist Diário'!$D$6:$D$75,"Publicar Stories")</x:f>
        <x:v>0</x:v>
      </x:c>
      <x:c r="E19" s="55"/>
      <x:c r="F19" s="49" t="str">
        <x:v>4. A ausência da advogada não paralisa a produção.</x:v>
      </x:c>
      <x:c r="G19" s="50"/>
      <x:c r="H19" s="5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65" t="str">
        <x:v>Sexta-feira</x:v>
      </x:c>
      <x:c r="B20" s="66" t="n">
        <x:f>IFERROR(SUMIF('Checklist Diário'!$A$6:$A$75,A20,'Checklist Diário'!$I$6:$I$75)/COUNTIF('Checklist Diário'!$A$6:$A$75,A20),0)</x:f>
        <x:v>0</x:v>
      </x:c>
      <x:c r="C20" s="64" t="n">
        <x:f>SUMIF('Checklist Diário'!$A$6:$A$75,A20,'Checklist Diário'!$I$6:$I$75)</x:f>
        <x:v>0</x:v>
      </x:c>
      <x:c r="D20" s="64" t="n">
        <x:f>SUMIFS('Checklist Diário'!$F$6:$F$75,'Checklist Diário'!$A$6:$A$75,A20,'Checklist Diário'!$D$6:$D$75,"Publicar Stories")</x:f>
        <x:v>0</x:v>
      </x:c>
      <x:c r="E20" s="55"/>
      <x:c r="F20" s="52" t="str">
        <x:v>5. O relatório deve ser enviado até o fim do expediente.</x:v>
      </x:c>
      <x:c r="G20" s="53"/>
      <x:c r="H20" s="54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mergeCells>
    <x:mergeCell ref="A2:H2"/>
    <x:mergeCell ref="D4:H4"/>
    <x:mergeCell ref="F15:H15"/>
    <x:mergeCell ref="F16:H16"/>
    <x:mergeCell ref="F17:H17"/>
    <x:mergeCell ref="F18:H18"/>
    <x:mergeCell ref="F19:H19"/>
    <x:mergeCell ref="F20:H20"/>
  </x:mergeCells>
  <x:conditionalFormatting sqref="D7:D12">
    <x:cfRule type="containsText" dxfId="0" priority="1" operator="containsText" text="Meta atingida"/>
    <x:cfRule type="containsText" dxfId="1" priority="2" operator="containsText" text="Atenção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7" hidden="0" customWidth="1"/>
    <x:col min="4" max="4" width="39" hidden="0" customWidth="1"/>
    <x:col min="5" max="5" width="15" hidden="0" customWidth="1"/>
    <x:col min="6" max="6" width="15" hidden="0" customWidth="1"/>
    <x:col min="7" max="7" width="18" hidden="0" customWidth="1"/>
    <x:col min="8" max="8" width="30" hidden="0" customWidth="1"/>
    <x:col min="9" max="9" width="12" hidden="0" customWidth="1"/>
    <x:col min="10" max="10" width="2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" customHeight="1">
      <x:c r="A2" s="3" t="str">
        <x:v>Checklist diário de produção de conteúdo</x:v>
      </x:c>
      <x:c r="B2" s="3" t="str">
        <x:v>Checklist diário de produção de conteúdo</x:v>
      </x:c>
      <x:c r="C2" s="3" t="str">
        <x:v>Checklist diário de produção de conteúdo</x:v>
      </x:c>
      <x:c r="D2" s="3" t="str">
        <x:v>Checklist diário de produção de conteúdo</x:v>
      </x:c>
      <x:c r="E2" s="3" t="str">
        <x:v>Checklist diário de produção de conteúdo</x:v>
      </x:c>
      <x:c r="F2" s="3" t="str">
        <x:v>Checklist diário de produção de conteúdo</x:v>
      </x:c>
      <x:c r="G2" s="3" t="str">
        <x:v>Checklist diário de produção de conteúdo</x:v>
      </x:c>
      <x:c r="H2" s="3" t="str">
        <x:v>Checklist diário de produção de conteúdo</x:v>
      </x:c>
      <x:c r="I2" s="3" t="str">
        <x:v>Checklist diário de produção de conteúdo</x:v>
      </x:c>
      <x:c r="J2" s="3" t="str">
        <x:v>Checklist diário de produção de conteúdo</x:v>
      </x:c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0" t="str">
        <x:v>Preencha Quantidade realizada, Status, Evidência e Observações. A coluna Cumpriu é calculada automaticamente.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6" t="str">
        <x:v>Dia</x:v>
      </x:c>
      <x:c r="B5" s="16" t="str">
        <x:v>Horário</x:v>
      </x:c>
      <x:c r="C5" s="16" t="str">
        <x:v>Bloco</x:v>
      </x:c>
      <x:c r="D5" s="16" t="str">
        <x:v>Tarefa ou entrega</x:v>
      </x:c>
      <x:c r="E5" s="16" t="str">
        <x:v>Meta</x:v>
      </x:c>
      <x:c r="F5" s="16" t="str">
        <x:v>Quantidade realizada</x:v>
      </x:c>
      <x:c r="G5" s="16" t="str">
        <x:v>Status</x:v>
      </x:c>
      <x:c r="H5" s="16" t="str">
        <x:v>Evidência ou link</x:v>
      </x:c>
      <x:c r="I5" s="16" t="str">
        <x:v>Cumpriu</x:v>
      </x:c>
      <x:c r="J5" s="16" t="str">
        <x:v>Observações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93" t="str">
        <x:v>Segunda-feira</x:v>
      </x:c>
      <x:c r="B6" s="75" t="str">
        <x:v>8h às 8h30</x:v>
      </x:c>
      <x:c r="C6" s="75" t="str">
        <x:v>Pesquisa</x:v>
      </x:c>
      <x:c r="D6" s="81" t="str">
        <x:v>Levantar novidades em fontes oficiais</x:v>
      </x:c>
      <x:c r="E6" s="96" t="n">
        <x:v>3</x:v>
      </x:c>
      <x:c r="F6" s="97" t="n">
        <x:v>0</x:v>
      </x:c>
      <x:c r="G6" s="98" t="str">
        <x:v>Não iniciado</x:v>
      </x:c>
      <x:c r="H6" s="84" t="str"/>
      <x:c r="I6" s="96" t="n">
        <x:f>IF(OR(G6="Concluído",F6&gt;=E6),1,0)</x:f>
        <x:v>0</x:v>
      </x:c>
      <x:c r="J6" s="75" t="str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94" t="str">
        <x:v>Segunda-feira</x:v>
      </x:c>
      <x:c r="B7" s="77" t="str">
        <x:v>8h30 às 9h</x:v>
      </x:c>
      <x:c r="C7" s="77" t="str">
        <x:v>Pesquisa</x:v>
      </x:c>
      <x:c r="D7" s="82" t="str">
        <x:v>Pesquisar decisão ou tema relevante</x:v>
      </x:c>
      <x:c r="E7" s="99" t="n">
        <x:v>1</x:v>
      </x:c>
      <x:c r="F7" s="100" t="n">
        <x:v>0</x:v>
      </x:c>
      <x:c r="G7" s="101" t="str">
        <x:v>Não iniciado</x:v>
      </x:c>
      <x:c r="H7" s="85" t="str"/>
      <x:c r="I7" s="99" t="n">
        <x:f>IF(OR(G7="Concluído",F7&gt;=E7),1,0)</x:f>
        <x:v>0</x:v>
      </x:c>
      <x:c r="J7" s="77" t="str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94" t="str">
        <x:v>Segunda-feira</x:v>
      </x:c>
      <x:c r="B8" s="77" t="str">
        <x:v>9h às 10h</x:v>
      </x:c>
      <x:c r="C8" s="77" t="str">
        <x:v>Roteiros</x:v>
      </x:c>
      <x:c r="D8" s="82" t="str">
        <x:v>Produzir roteiros curtos para Reels</x:v>
      </x:c>
      <x:c r="E8" s="99" t="n">
        <x:v>3</x:v>
      </x:c>
      <x:c r="F8" s="100" t="n">
        <x:v>0</x:v>
      </x:c>
      <x:c r="G8" s="101" t="str">
        <x:v>Não iniciado</x:v>
      </x:c>
      <x:c r="H8" s="85" t="str"/>
      <x:c r="I8" s="99" t="n">
        <x:f>IF(OR(G8="Concluído",F8&gt;=E8),1,0)</x:f>
        <x:v>0</x:v>
      </x:c>
      <x:c r="J8" s="77" t="str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94" t="str">
        <x:v>Segunda-feira</x:v>
      </x:c>
      <x:c r="B9" s="77" t="str">
        <x:v>10h às 11h</x:v>
      </x:c>
      <x:c r="C9" s="77" t="str">
        <x:v>Captação</x:v>
      </x:c>
      <x:c r="D9" s="82" t="str">
        <x:v>Gravar vídeo com funcionário</x:v>
      </x:c>
      <x:c r="E9" s="99" t="n">
        <x:v>1</x:v>
      </x:c>
      <x:c r="F9" s="100" t="n">
        <x:v>0</x:v>
      </x:c>
      <x:c r="G9" s="101" t="str">
        <x:v>Não iniciado</x:v>
      </x:c>
      <x:c r="H9" s="85" t="str"/>
      <x:c r="I9" s="99" t="n">
        <x:f>IF(OR(G9="Concluído",F9&gt;=E9),1,0)</x:f>
        <x:v>0</x:v>
      </x:c>
      <x:c r="J9" s="77" t="str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94" t="str">
        <x:v>Segunda-feira</x:v>
      </x:c>
      <x:c r="B10" s="77" t="str">
        <x:v>10h às 11h</x:v>
      </x:c>
      <x:c r="C10" s="77" t="str">
        <x:v>Captação</x:v>
      </x:c>
      <x:c r="D10" s="82" t="str">
        <x:v>Produzir fotos e vídeos de bastidores</x:v>
      </x:c>
      <x:c r="E10" s="99" t="n">
        <x:v>8</x:v>
      </x:c>
      <x:c r="F10" s="100" t="n">
        <x:v>0</x:v>
      </x:c>
      <x:c r="G10" s="101" t="str">
        <x:v>Não iniciado</x:v>
      </x:c>
      <x:c r="H10" s="85" t="str"/>
      <x:c r="I10" s="99" t="n">
        <x:f>IF(OR(G10="Concluído",F10&gt;=E10),1,0)</x:f>
        <x:v>0</x:v>
      </x:c>
      <x:c r="J10" s="77" t="str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94" t="str">
        <x:v>Segunda-feira</x:v>
      </x:c>
      <x:c r="B11" s="77" t="str">
        <x:v>11h às 12h</x:v>
      </x:c>
      <x:c r="C11" s="77" t="str">
        <x:v>Institucional</x:v>
      </x:c>
      <x:c r="D11" s="82" t="str">
        <x:v>Gravar vídeo de localização</x:v>
      </x:c>
      <x:c r="E11" s="99" t="n">
        <x:v>1</x:v>
      </x:c>
      <x:c r="F11" s="100" t="n">
        <x:v>0</x:v>
      </x:c>
      <x:c r="G11" s="101" t="str">
        <x:v>Não iniciado</x:v>
      </x:c>
      <x:c r="H11" s="85" t="str"/>
      <x:c r="I11" s="99" t="n">
        <x:f>IF(OR(G11="Concluído",F11&gt;=E11),1,0)</x:f>
        <x:v>0</x:v>
      </x:c>
      <x:c r="J11" s="77" t="str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94" t="str">
        <x:v>Segunda-feira</x:v>
      </x:c>
      <x:c r="B12" s="77" t="str">
        <x:v>11h às 12h</x:v>
      </x:c>
      <x:c r="C12" s="77" t="str">
        <x:v>Institucional</x:v>
      </x:c>
      <x:c r="D12" s="82" t="str">
        <x:v>Gravar conteúdo da estrutura ou serviço</x:v>
      </x:c>
      <x:c r="E12" s="99" t="n">
        <x:v>1</x:v>
      </x:c>
      <x:c r="F12" s="100" t="n">
        <x:v>0</x:v>
      </x:c>
      <x:c r="G12" s="101" t="str">
        <x:v>Não iniciado</x:v>
      </x:c>
      <x:c r="H12" s="85" t="str"/>
      <x:c r="I12" s="99" t="n">
        <x:f>IF(OR(G12="Concluído",F12&gt;=E12),1,0)</x:f>
        <x:v>0</x:v>
      </x:c>
      <x:c r="J12" s="77" t="str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94" t="str">
        <x:v>Segunda-feira</x:v>
      </x:c>
      <x:c r="B13" s="77" t="str">
        <x:v>13h às 14h30</x:v>
      </x:c>
      <x:c r="C13" s="77" t="str">
        <x:v>Edição</x:v>
      </x:c>
      <x:c r="D13" s="82" t="str">
        <x:v>Editar Reels</x:v>
      </x:c>
      <x:c r="E13" s="99" t="n">
        <x:v>2</x:v>
      </x:c>
      <x:c r="F13" s="100" t="n">
        <x:v>0</x:v>
      </x:c>
      <x:c r="G13" s="101" t="str">
        <x:v>Não iniciado</x:v>
      </x:c>
      <x:c r="H13" s="85" t="str"/>
      <x:c r="I13" s="99" t="n">
        <x:f>IF(OR(G13="Concluído",F13&gt;=E13),1,0)</x:f>
        <x:v>0</x:v>
      </x:c>
      <x:c r="J13" s="77" t="str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94" t="str">
        <x:v>Segunda-feira</x:v>
      </x:c>
      <x:c r="B14" s="77" t="str">
        <x:v>14h30 às 15h30</x:v>
      </x:c>
      <x:c r="C14" s="77" t="str">
        <x:v>Publicação</x:v>
      </x:c>
      <x:c r="D14" s="82" t="str">
        <x:v>Publicar Reel principal</x:v>
      </x:c>
      <x:c r="E14" s="99" t="n">
        <x:v>1</x:v>
      </x:c>
      <x:c r="F14" s="100" t="n">
        <x:v>0</x:v>
      </x:c>
      <x:c r="G14" s="101" t="str">
        <x:v>Não iniciado</x:v>
      </x:c>
      <x:c r="H14" s="85" t="str"/>
      <x:c r="I14" s="99" t="n">
        <x:f>IF(OR(G14="Concluído",F14&gt;=E14),1,0)</x:f>
        <x:v>0</x:v>
      </x:c>
      <x:c r="J14" s="77" t="str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94" t="str">
        <x:v>Segunda-feira</x:v>
      </x:c>
      <x:c r="B15" s="77" t="str">
        <x:v>14h30 às 15h30</x:v>
      </x:c>
      <x:c r="C15" s="77" t="str">
        <x:v>Publicação</x:v>
      </x:c>
      <x:c r="D15" s="82" t="str">
        <x:v>Publicar Stories</x:v>
      </x:c>
      <x:c r="E15" s="99" t="n">
        <x:v>10</x:v>
      </x:c>
      <x:c r="F15" s="100" t="n">
        <x:v>0</x:v>
      </x:c>
      <x:c r="G15" s="101" t="str">
        <x:v>Não iniciado</x:v>
      </x:c>
      <x:c r="H15" s="85" t="str"/>
      <x:c r="I15" s="99" t="n">
        <x:f>IF(OR(G15="Concluído",F15&gt;=E15),1,0)</x:f>
        <x:v>0</x:v>
      </x:c>
      <x:c r="J15" s="77" t="str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94" t="str">
        <x:v>Segunda-feira</x:v>
      </x:c>
      <x:c r="B16" s="77" t="str">
        <x:v>15h às 15h30</x:v>
      </x:c>
      <x:c r="C16" s="77" t="str">
        <x:v>Relacionamento</x:v>
      </x:c>
      <x:c r="D16" s="82" t="str">
        <x:v>Responder comentários e interações</x:v>
      </x:c>
      <x:c r="E16" s="99" t="n">
        <x:v>1</x:v>
      </x:c>
      <x:c r="F16" s="100" t="n">
        <x:v>0</x:v>
      </x:c>
      <x:c r="G16" s="101" t="str">
        <x:v>Não iniciado</x:v>
      </x:c>
      <x:c r="H16" s="85" t="str"/>
      <x:c r="I16" s="99" t="n">
        <x:f>IF(OR(G16="Concluído",F16&gt;=E16),1,0)</x:f>
        <x:v>0</x:v>
      </x:c>
      <x:c r="J16" s="77" t="str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94" t="str">
        <x:v>Segunda-feira</x:v>
      </x:c>
      <x:c r="B17" s="77" t="str">
        <x:v>15h30 às 16h30</x:v>
      </x:c>
      <x:c r="C17" s="77" t="str">
        <x:v>Organização</x:v>
      </x:c>
      <x:c r="D17" s="82" t="str">
        <x:v>Adicionar conteúdos ao banco</x:v>
      </x:c>
      <x:c r="E17" s="99" t="n">
        <x:v>4</x:v>
      </x:c>
      <x:c r="F17" s="100" t="n">
        <x:v>0</x:v>
      </x:c>
      <x:c r="G17" s="101" t="str">
        <x:v>Não iniciado</x:v>
      </x:c>
      <x:c r="H17" s="85" t="str"/>
      <x:c r="I17" s="99" t="n">
        <x:f>IF(OR(G17="Concluído",F17&gt;=E17),1,0)</x:f>
        <x:v>0</x:v>
      </x:c>
      <x:c r="J17" s="77" t="str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94" t="str">
        <x:v>Segunda-feira</x:v>
      </x:c>
      <x:c r="B18" s="77" t="str">
        <x:v>16h30 às 17h</x:v>
      </x:c>
      <x:c r="C18" s="77" t="str">
        <x:v>Planejamento</x:v>
      </x:c>
      <x:c r="D18" s="82" t="str">
        <x:v>Organizar pauta do dia seguinte</x:v>
      </x:c>
      <x:c r="E18" s="99" t="n">
        <x:v>1</x:v>
      </x:c>
      <x:c r="F18" s="100" t="n">
        <x:v>0</x:v>
      </x:c>
      <x:c r="G18" s="101" t="str">
        <x:v>Não iniciado</x:v>
      </x:c>
      <x:c r="H18" s="85" t="str"/>
      <x:c r="I18" s="99" t="n">
        <x:f>IF(OR(G18="Concluído",F18&gt;=E18),1,0)</x:f>
        <x:v>0</x:v>
      </x:c>
      <x:c r="J18" s="77" t="str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94" t="str">
        <x:v>Segunda-feira</x:v>
      </x:c>
      <x:c r="B19" s="77" t="str">
        <x:v>Até 17h</x:v>
      </x:c>
      <x:c r="C19" s="77" t="str">
        <x:v>Gestão</x:v>
      </x:c>
      <x:c r="D19" s="82" t="str">
        <x:v>Enviar relatório diário de produtividade</x:v>
      </x:c>
      <x:c r="E19" s="99" t="n">
        <x:v>1</x:v>
      </x:c>
      <x:c r="F19" s="100" t="n">
        <x:v>0</x:v>
      </x:c>
      <x:c r="G19" s="101" t="str">
        <x:v>Não iniciado</x:v>
      </x:c>
      <x:c r="H19" s="85" t="str"/>
      <x:c r="I19" s="99" t="n">
        <x:f>IF(OR(G19="Concluído",F19&gt;=E19),1,0)</x:f>
        <x:v>0</x:v>
      </x:c>
      <x:c r="J19" s="77" t="str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94" t="str">
        <x:v>Terça-feira</x:v>
      </x:c>
      <x:c r="B20" s="77" t="str">
        <x:v>8h às 8h30</x:v>
      </x:c>
      <x:c r="C20" s="77" t="str">
        <x:v>Pesquisa</x:v>
      </x:c>
      <x:c r="D20" s="82" t="str">
        <x:v>Levantar novidades em fontes oficiais</x:v>
      </x:c>
      <x:c r="E20" s="99" t="n">
        <x:v>3</x:v>
      </x:c>
      <x:c r="F20" s="100" t="n">
        <x:v>0</x:v>
      </x:c>
      <x:c r="G20" s="101" t="str">
        <x:v>Não iniciado</x:v>
      </x:c>
      <x:c r="H20" s="85" t="str"/>
      <x:c r="I20" s="99" t="n">
        <x:f>IF(OR(G20="Concluído",F20&gt;=E20),1,0)</x:f>
        <x:v>0</x:v>
      </x:c>
      <x:c r="J20" s="77" t="str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94" t="str">
        <x:v>Terça-feira</x:v>
      </x:c>
      <x:c r="B21" s="77" t="str">
        <x:v>8h30 às 9h</x:v>
      </x:c>
      <x:c r="C21" s="77" t="str">
        <x:v>Pesquisa</x:v>
      </x:c>
      <x:c r="D21" s="82" t="str">
        <x:v>Pesquisar decisão ou tema relevante</x:v>
      </x:c>
      <x:c r="E21" s="99" t="n">
        <x:v>1</x:v>
      </x:c>
      <x:c r="F21" s="100" t="n">
        <x:v>0</x:v>
      </x:c>
      <x:c r="G21" s="101" t="str">
        <x:v>Não iniciado</x:v>
      </x:c>
      <x:c r="H21" s="85" t="str"/>
      <x:c r="I21" s="99" t="n">
        <x:f>IF(OR(G21="Concluído",F21&gt;=E21),1,0)</x:f>
        <x:v>0</x:v>
      </x:c>
      <x:c r="J21" s="77" t="str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94" t="str">
        <x:v>Terça-feira</x:v>
      </x:c>
      <x:c r="B22" s="77" t="str">
        <x:v>9h às 10h</x:v>
      </x:c>
      <x:c r="C22" s="77" t="str">
        <x:v>Roteiros</x:v>
      </x:c>
      <x:c r="D22" s="82" t="str">
        <x:v>Produzir roteiros curtos para Reels</x:v>
      </x:c>
      <x:c r="E22" s="99" t="n">
        <x:v>3</x:v>
      </x:c>
      <x:c r="F22" s="100" t="n">
        <x:v>0</x:v>
      </x:c>
      <x:c r="G22" s="101" t="str">
        <x:v>Não iniciado</x:v>
      </x:c>
      <x:c r="H22" s="85" t="str"/>
      <x:c r="I22" s="99" t="n">
        <x:f>IF(OR(G22="Concluído",F22&gt;=E22),1,0)</x:f>
        <x:v>0</x:v>
      </x:c>
      <x:c r="J22" s="77" t="str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94" t="str">
        <x:v>Terça-feira</x:v>
      </x:c>
      <x:c r="B23" s="77" t="str">
        <x:v>10h às 11h</x:v>
      </x:c>
      <x:c r="C23" s="77" t="str">
        <x:v>Captação</x:v>
      </x:c>
      <x:c r="D23" s="82" t="str">
        <x:v>Gravar vídeo com funcionário</x:v>
      </x:c>
      <x:c r="E23" s="99" t="n">
        <x:v>1</x:v>
      </x:c>
      <x:c r="F23" s="100" t="n">
        <x:v>0</x:v>
      </x:c>
      <x:c r="G23" s="101" t="str">
        <x:v>Não iniciado</x:v>
      </x:c>
      <x:c r="H23" s="85" t="str"/>
      <x:c r="I23" s="99" t="n">
        <x:f>IF(OR(G23="Concluído",F23&gt;=E23),1,0)</x:f>
        <x:v>0</x:v>
      </x:c>
      <x:c r="J23" s="77" t="str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94" t="str">
        <x:v>Terça-feira</x:v>
      </x:c>
      <x:c r="B24" s="77" t="str">
        <x:v>10h às 11h</x:v>
      </x:c>
      <x:c r="C24" s="77" t="str">
        <x:v>Captação</x:v>
      </x:c>
      <x:c r="D24" s="82" t="str">
        <x:v>Produzir fotos e vídeos de bastidores</x:v>
      </x:c>
      <x:c r="E24" s="99" t="n">
        <x:v>8</x:v>
      </x:c>
      <x:c r="F24" s="100" t="n">
        <x:v>0</x:v>
      </x:c>
      <x:c r="G24" s="101" t="str">
        <x:v>Não iniciado</x:v>
      </x:c>
      <x:c r="H24" s="85" t="str"/>
      <x:c r="I24" s="99" t="n">
        <x:f>IF(OR(G24="Concluído",F24&gt;=E24),1,0)</x:f>
        <x:v>0</x:v>
      </x:c>
      <x:c r="J24" s="77" t="str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94" t="str">
        <x:v>Terça-feira</x:v>
      </x:c>
      <x:c r="B25" s="77" t="str">
        <x:v>11h às 12h</x:v>
      </x:c>
      <x:c r="C25" s="77" t="str">
        <x:v>Institucional</x:v>
      </x:c>
      <x:c r="D25" s="82" t="str">
        <x:v>Gravar vídeo de localização</x:v>
      </x:c>
      <x:c r="E25" s="99" t="n">
        <x:v>1</x:v>
      </x:c>
      <x:c r="F25" s="100" t="n">
        <x:v>0</x:v>
      </x:c>
      <x:c r="G25" s="101" t="str">
        <x:v>Não iniciado</x:v>
      </x:c>
      <x:c r="H25" s="85" t="str"/>
      <x:c r="I25" s="99" t="n">
        <x:f>IF(OR(G25="Concluído",F25&gt;=E25),1,0)</x:f>
        <x:v>0</x:v>
      </x:c>
      <x:c r="J25" s="77" t="str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94" t="str">
        <x:v>Terça-feira</x:v>
      </x:c>
      <x:c r="B26" s="77" t="str">
        <x:v>11h às 12h</x:v>
      </x:c>
      <x:c r="C26" s="77" t="str">
        <x:v>Institucional</x:v>
      </x:c>
      <x:c r="D26" s="82" t="str">
        <x:v>Gravar conteúdo da estrutura ou serviço</x:v>
      </x:c>
      <x:c r="E26" s="99" t="n">
        <x:v>1</x:v>
      </x:c>
      <x:c r="F26" s="100" t="n">
        <x:v>0</x:v>
      </x:c>
      <x:c r="G26" s="101" t="str">
        <x:v>Não iniciado</x:v>
      </x:c>
      <x:c r="H26" s="85" t="str"/>
      <x:c r="I26" s="99" t="n">
        <x:f>IF(OR(G26="Concluído",F26&gt;=E26),1,0)</x:f>
        <x:v>0</x:v>
      </x:c>
      <x:c r="J26" s="77" t="str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94" t="str">
        <x:v>Terça-feira</x:v>
      </x:c>
      <x:c r="B27" s="77" t="str">
        <x:v>13h às 14h30</x:v>
      </x:c>
      <x:c r="C27" s="77" t="str">
        <x:v>Edição</x:v>
      </x:c>
      <x:c r="D27" s="82" t="str">
        <x:v>Editar Reels</x:v>
      </x:c>
      <x:c r="E27" s="99" t="n">
        <x:v>2</x:v>
      </x:c>
      <x:c r="F27" s="100" t="n">
        <x:v>0</x:v>
      </x:c>
      <x:c r="G27" s="101" t="str">
        <x:v>Não iniciado</x:v>
      </x:c>
      <x:c r="H27" s="85" t="str"/>
      <x:c r="I27" s="99" t="n">
        <x:f>IF(OR(G27="Concluído",F27&gt;=E27),1,0)</x:f>
        <x:v>0</x:v>
      </x:c>
      <x:c r="J27" s="77" t="str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94" t="str">
        <x:v>Terça-feira</x:v>
      </x:c>
      <x:c r="B28" s="77" t="str">
        <x:v>14h30 às 15h30</x:v>
      </x:c>
      <x:c r="C28" s="77" t="str">
        <x:v>Publicação</x:v>
      </x:c>
      <x:c r="D28" s="82" t="str">
        <x:v>Publicar Reel principal</x:v>
      </x:c>
      <x:c r="E28" s="99" t="n">
        <x:v>1</x:v>
      </x:c>
      <x:c r="F28" s="100" t="n">
        <x:v>0</x:v>
      </x:c>
      <x:c r="G28" s="101" t="str">
        <x:v>Não iniciado</x:v>
      </x:c>
      <x:c r="H28" s="85" t="str"/>
      <x:c r="I28" s="99" t="n">
        <x:f>IF(OR(G28="Concluído",F28&gt;=E28),1,0)</x:f>
        <x:v>0</x:v>
      </x:c>
      <x:c r="J28" s="77" t="str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94" t="str">
        <x:v>Terça-feira</x:v>
      </x:c>
      <x:c r="B29" s="77" t="str">
        <x:v>14h30 às 15h30</x:v>
      </x:c>
      <x:c r="C29" s="77" t="str">
        <x:v>Publicação</x:v>
      </x:c>
      <x:c r="D29" s="82" t="str">
        <x:v>Publicar Stories</x:v>
      </x:c>
      <x:c r="E29" s="99" t="n">
        <x:v>10</x:v>
      </x:c>
      <x:c r="F29" s="100" t="n">
        <x:v>0</x:v>
      </x:c>
      <x:c r="G29" s="101" t="str">
        <x:v>Não iniciado</x:v>
      </x:c>
      <x:c r="H29" s="85" t="str"/>
      <x:c r="I29" s="99" t="n">
        <x:f>IF(OR(G29="Concluído",F29&gt;=E29),1,0)</x:f>
        <x:v>0</x:v>
      </x:c>
      <x:c r="J29" s="77" t="str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94" t="str">
        <x:v>Terça-feira</x:v>
      </x:c>
      <x:c r="B30" s="77" t="str">
        <x:v>15h às 15h30</x:v>
      </x:c>
      <x:c r="C30" s="77" t="str">
        <x:v>Relacionamento</x:v>
      </x:c>
      <x:c r="D30" s="82" t="str">
        <x:v>Responder comentários e interações</x:v>
      </x:c>
      <x:c r="E30" s="99" t="n">
        <x:v>1</x:v>
      </x:c>
      <x:c r="F30" s="100" t="n">
        <x:v>0</x:v>
      </x:c>
      <x:c r="G30" s="101" t="str">
        <x:v>Não iniciado</x:v>
      </x:c>
      <x:c r="H30" s="85" t="str"/>
      <x:c r="I30" s="99" t="n">
        <x:f>IF(OR(G30="Concluído",F30&gt;=E30),1,0)</x:f>
        <x:v>0</x:v>
      </x:c>
      <x:c r="J30" s="77" t="str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94" t="str">
        <x:v>Terça-feira</x:v>
      </x:c>
      <x:c r="B31" s="77" t="str">
        <x:v>15h30 às 16h30</x:v>
      </x:c>
      <x:c r="C31" s="77" t="str">
        <x:v>Organização</x:v>
      </x:c>
      <x:c r="D31" s="82" t="str">
        <x:v>Adicionar conteúdos ao banco</x:v>
      </x:c>
      <x:c r="E31" s="99" t="n">
        <x:v>4</x:v>
      </x:c>
      <x:c r="F31" s="100" t="n">
        <x:v>0</x:v>
      </x:c>
      <x:c r="G31" s="101" t="str">
        <x:v>Não iniciado</x:v>
      </x:c>
      <x:c r="H31" s="85" t="str"/>
      <x:c r="I31" s="99" t="n">
        <x:f>IF(OR(G31="Concluído",F31&gt;=E31),1,0)</x:f>
        <x:v>0</x:v>
      </x:c>
      <x:c r="J31" s="77" t="str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94" t="str">
        <x:v>Terça-feira</x:v>
      </x:c>
      <x:c r="B32" s="77" t="str">
        <x:v>16h30 às 17h</x:v>
      </x:c>
      <x:c r="C32" s="77" t="str">
        <x:v>Planejamento</x:v>
      </x:c>
      <x:c r="D32" s="82" t="str">
        <x:v>Organizar pauta do dia seguinte</x:v>
      </x:c>
      <x:c r="E32" s="99" t="n">
        <x:v>1</x:v>
      </x:c>
      <x:c r="F32" s="100" t="n">
        <x:v>0</x:v>
      </x:c>
      <x:c r="G32" s="101" t="str">
        <x:v>Não iniciado</x:v>
      </x:c>
      <x:c r="H32" s="85" t="str"/>
      <x:c r="I32" s="99" t="n">
        <x:f>IF(OR(G32="Concluído",F32&gt;=E32),1,0)</x:f>
        <x:v>0</x:v>
      </x:c>
      <x:c r="J32" s="77" t="str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94" t="str">
        <x:v>Terça-feira</x:v>
      </x:c>
      <x:c r="B33" s="77" t="str">
        <x:v>Até 17h</x:v>
      </x:c>
      <x:c r="C33" s="77" t="str">
        <x:v>Gestão</x:v>
      </x:c>
      <x:c r="D33" s="82" t="str">
        <x:v>Enviar relatório diário de produtividade</x:v>
      </x:c>
      <x:c r="E33" s="99" t="n">
        <x:v>1</x:v>
      </x:c>
      <x:c r="F33" s="100" t="n">
        <x:v>0</x:v>
      </x:c>
      <x:c r="G33" s="101" t="str">
        <x:v>Não iniciado</x:v>
      </x:c>
      <x:c r="H33" s="85" t="str"/>
      <x:c r="I33" s="99" t="n">
        <x:f>IF(OR(G33="Concluído",F33&gt;=E33),1,0)</x:f>
        <x:v>0</x:v>
      </x:c>
      <x:c r="J33" s="77" t="str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94" t="str">
        <x:v>Quarta-feira</x:v>
      </x:c>
      <x:c r="B34" s="77" t="str">
        <x:v>8h às 8h30</x:v>
      </x:c>
      <x:c r="C34" s="77" t="str">
        <x:v>Pesquisa</x:v>
      </x:c>
      <x:c r="D34" s="82" t="str">
        <x:v>Levantar novidades em fontes oficiais</x:v>
      </x:c>
      <x:c r="E34" s="99" t="n">
        <x:v>3</x:v>
      </x:c>
      <x:c r="F34" s="100" t="n">
        <x:v>0</x:v>
      </x:c>
      <x:c r="G34" s="101" t="str">
        <x:v>Não iniciado</x:v>
      </x:c>
      <x:c r="H34" s="85" t="str"/>
      <x:c r="I34" s="99" t="n">
        <x:f>IF(OR(G34="Concluído",F34&gt;=E34),1,0)</x:f>
        <x:v>0</x:v>
      </x:c>
      <x:c r="J34" s="77" t="str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94" t="str">
        <x:v>Quarta-feira</x:v>
      </x:c>
      <x:c r="B35" s="77" t="str">
        <x:v>8h30 às 9h</x:v>
      </x:c>
      <x:c r="C35" s="77" t="str">
        <x:v>Pesquisa</x:v>
      </x:c>
      <x:c r="D35" s="82" t="str">
        <x:v>Pesquisar decisão ou tema relevante</x:v>
      </x:c>
      <x:c r="E35" s="99" t="n">
        <x:v>1</x:v>
      </x:c>
      <x:c r="F35" s="100" t="n">
        <x:v>0</x:v>
      </x:c>
      <x:c r="G35" s="101" t="str">
        <x:v>Não iniciado</x:v>
      </x:c>
      <x:c r="H35" s="85" t="str"/>
      <x:c r="I35" s="99" t="n">
        <x:f>IF(OR(G35="Concluído",F35&gt;=E35),1,0)</x:f>
        <x:v>0</x:v>
      </x:c>
      <x:c r="J35" s="77" t="str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94" t="str">
        <x:v>Quarta-feira</x:v>
      </x:c>
      <x:c r="B36" s="77" t="str">
        <x:v>9h às 10h</x:v>
      </x:c>
      <x:c r="C36" s="77" t="str">
        <x:v>Roteiros</x:v>
      </x:c>
      <x:c r="D36" s="82" t="str">
        <x:v>Produzir roteiros curtos para Reels</x:v>
      </x:c>
      <x:c r="E36" s="99" t="n">
        <x:v>3</x:v>
      </x:c>
      <x:c r="F36" s="100" t="n">
        <x:v>0</x:v>
      </x:c>
      <x:c r="G36" s="101" t="str">
        <x:v>Não iniciado</x:v>
      </x:c>
      <x:c r="H36" s="85" t="str"/>
      <x:c r="I36" s="99" t="n">
        <x:f>IF(OR(G36="Concluído",F36&gt;=E36),1,0)</x:f>
        <x:v>0</x:v>
      </x:c>
      <x:c r="J36" s="77" t="str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94" t="str">
        <x:v>Quarta-feira</x:v>
      </x:c>
      <x:c r="B37" s="77" t="str">
        <x:v>10h às 11h</x:v>
      </x:c>
      <x:c r="C37" s="77" t="str">
        <x:v>Captação</x:v>
      </x:c>
      <x:c r="D37" s="82" t="str">
        <x:v>Gravar vídeo com funcionário</x:v>
      </x:c>
      <x:c r="E37" s="99" t="n">
        <x:v>1</x:v>
      </x:c>
      <x:c r="F37" s="100" t="n">
        <x:v>0</x:v>
      </x:c>
      <x:c r="G37" s="101" t="str">
        <x:v>Não iniciado</x:v>
      </x:c>
      <x:c r="H37" s="85" t="str"/>
      <x:c r="I37" s="99" t="n">
        <x:f>IF(OR(G37="Concluído",F37&gt;=E37),1,0)</x:f>
        <x:v>0</x:v>
      </x:c>
      <x:c r="J37" s="77" t="str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94" t="str">
        <x:v>Quarta-feira</x:v>
      </x:c>
      <x:c r="B38" s="77" t="str">
        <x:v>10h às 11h</x:v>
      </x:c>
      <x:c r="C38" s="77" t="str">
        <x:v>Captação</x:v>
      </x:c>
      <x:c r="D38" s="82" t="str">
        <x:v>Produzir fotos e vídeos de bastidores</x:v>
      </x:c>
      <x:c r="E38" s="99" t="n">
        <x:v>8</x:v>
      </x:c>
      <x:c r="F38" s="100" t="n">
        <x:v>0</x:v>
      </x:c>
      <x:c r="G38" s="101" t="str">
        <x:v>Não iniciado</x:v>
      </x:c>
      <x:c r="H38" s="85" t="str"/>
      <x:c r="I38" s="99" t="n">
        <x:f>IF(OR(G38="Concluído",F38&gt;=E38),1,0)</x:f>
        <x:v>0</x:v>
      </x:c>
      <x:c r="J38" s="77" t="str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94" t="str">
        <x:v>Quarta-feira</x:v>
      </x:c>
      <x:c r="B39" s="77" t="str">
        <x:v>11h às 12h</x:v>
      </x:c>
      <x:c r="C39" s="77" t="str">
        <x:v>Institucional</x:v>
      </x:c>
      <x:c r="D39" s="82" t="str">
        <x:v>Gravar vídeo de localização</x:v>
      </x:c>
      <x:c r="E39" s="99" t="n">
        <x:v>1</x:v>
      </x:c>
      <x:c r="F39" s="100" t="n">
        <x:v>0</x:v>
      </x:c>
      <x:c r="G39" s="101" t="str">
        <x:v>Não iniciado</x:v>
      </x:c>
      <x:c r="H39" s="85" t="str"/>
      <x:c r="I39" s="99" t="n">
        <x:f>IF(OR(G39="Concluído",F39&gt;=E39),1,0)</x:f>
        <x:v>0</x:v>
      </x:c>
      <x:c r="J39" s="77" t="str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94" t="str">
        <x:v>Quarta-feira</x:v>
      </x:c>
      <x:c r="B40" s="77" t="str">
        <x:v>11h às 12h</x:v>
      </x:c>
      <x:c r="C40" s="77" t="str">
        <x:v>Institucional</x:v>
      </x:c>
      <x:c r="D40" s="82" t="str">
        <x:v>Gravar conteúdo da estrutura ou serviço</x:v>
      </x:c>
      <x:c r="E40" s="99" t="n">
        <x:v>1</x:v>
      </x:c>
      <x:c r="F40" s="100" t="n">
        <x:v>0</x:v>
      </x:c>
      <x:c r="G40" s="101" t="str">
        <x:v>Não iniciado</x:v>
      </x:c>
      <x:c r="H40" s="85" t="str"/>
      <x:c r="I40" s="99" t="n">
        <x:f>IF(OR(G40="Concluído",F40&gt;=E40),1,0)</x:f>
        <x:v>0</x:v>
      </x:c>
      <x:c r="J40" s="77" t="str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94" t="str">
        <x:v>Quarta-feira</x:v>
      </x:c>
      <x:c r="B41" s="77" t="str">
        <x:v>13h às 14h30</x:v>
      </x:c>
      <x:c r="C41" s="77" t="str">
        <x:v>Edição</x:v>
      </x:c>
      <x:c r="D41" s="82" t="str">
        <x:v>Editar Reels</x:v>
      </x:c>
      <x:c r="E41" s="99" t="n">
        <x:v>2</x:v>
      </x:c>
      <x:c r="F41" s="100" t="n">
        <x:v>0</x:v>
      </x:c>
      <x:c r="G41" s="101" t="str">
        <x:v>Não iniciado</x:v>
      </x:c>
      <x:c r="H41" s="85" t="str"/>
      <x:c r="I41" s="99" t="n">
        <x:f>IF(OR(G41="Concluído",F41&gt;=E41),1,0)</x:f>
        <x:v>0</x:v>
      </x:c>
      <x:c r="J41" s="77" t="str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94" t="str">
        <x:v>Quarta-feira</x:v>
      </x:c>
      <x:c r="B42" s="77" t="str">
        <x:v>14h30 às 15h30</x:v>
      </x:c>
      <x:c r="C42" s="77" t="str">
        <x:v>Publicação</x:v>
      </x:c>
      <x:c r="D42" s="82" t="str">
        <x:v>Publicar Reel principal</x:v>
      </x:c>
      <x:c r="E42" s="99" t="n">
        <x:v>1</x:v>
      </x:c>
      <x:c r="F42" s="100" t="n">
        <x:v>0</x:v>
      </x:c>
      <x:c r="G42" s="101" t="str">
        <x:v>Não iniciado</x:v>
      </x:c>
      <x:c r="H42" s="85" t="str"/>
      <x:c r="I42" s="99" t="n">
        <x:f>IF(OR(G42="Concluído",F42&gt;=E42),1,0)</x:f>
        <x:v>0</x:v>
      </x:c>
      <x:c r="J42" s="77" t="str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94" t="str">
        <x:v>Quarta-feira</x:v>
      </x:c>
      <x:c r="B43" s="77" t="str">
        <x:v>14h30 às 15h30</x:v>
      </x:c>
      <x:c r="C43" s="77" t="str">
        <x:v>Publicação</x:v>
      </x:c>
      <x:c r="D43" s="82" t="str">
        <x:v>Publicar Stories</x:v>
      </x:c>
      <x:c r="E43" s="99" t="n">
        <x:v>10</x:v>
      </x:c>
      <x:c r="F43" s="100" t="n">
        <x:v>0</x:v>
      </x:c>
      <x:c r="G43" s="101" t="str">
        <x:v>Não iniciado</x:v>
      </x:c>
      <x:c r="H43" s="85" t="str"/>
      <x:c r="I43" s="99" t="n">
        <x:f>IF(OR(G43="Concluído",F43&gt;=E43),1,0)</x:f>
        <x:v>0</x:v>
      </x:c>
      <x:c r="J43" s="77" t="str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94" t="str">
        <x:v>Quarta-feira</x:v>
      </x:c>
      <x:c r="B44" s="77" t="str">
        <x:v>15h às 15h30</x:v>
      </x:c>
      <x:c r="C44" s="77" t="str">
        <x:v>Relacionamento</x:v>
      </x:c>
      <x:c r="D44" s="82" t="str">
        <x:v>Responder comentários e interações</x:v>
      </x:c>
      <x:c r="E44" s="99" t="n">
        <x:v>1</x:v>
      </x:c>
      <x:c r="F44" s="100" t="n">
        <x:v>0</x:v>
      </x:c>
      <x:c r="G44" s="101" t="str">
        <x:v>Não iniciado</x:v>
      </x:c>
      <x:c r="H44" s="85" t="str"/>
      <x:c r="I44" s="99" t="n">
        <x:f>IF(OR(G44="Concluído",F44&gt;=E44),1,0)</x:f>
        <x:v>0</x:v>
      </x:c>
      <x:c r="J44" s="77" t="str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94" t="str">
        <x:v>Quarta-feira</x:v>
      </x:c>
      <x:c r="B45" s="77" t="str">
        <x:v>15h30 às 16h30</x:v>
      </x:c>
      <x:c r="C45" s="77" t="str">
        <x:v>Organização</x:v>
      </x:c>
      <x:c r="D45" s="82" t="str">
        <x:v>Adicionar conteúdos ao banco</x:v>
      </x:c>
      <x:c r="E45" s="99" t="n">
        <x:v>4</x:v>
      </x:c>
      <x:c r="F45" s="100" t="n">
        <x:v>0</x:v>
      </x:c>
      <x:c r="G45" s="101" t="str">
        <x:v>Não iniciado</x:v>
      </x:c>
      <x:c r="H45" s="85" t="str"/>
      <x:c r="I45" s="99" t="n">
        <x:f>IF(OR(G45="Concluído",F45&gt;=E45),1,0)</x:f>
        <x:v>0</x:v>
      </x:c>
      <x:c r="J45" s="77" t="str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94" t="str">
        <x:v>Quarta-feira</x:v>
      </x:c>
      <x:c r="B46" s="77" t="str">
        <x:v>16h30 às 17h</x:v>
      </x:c>
      <x:c r="C46" s="77" t="str">
        <x:v>Planejamento</x:v>
      </x:c>
      <x:c r="D46" s="82" t="str">
        <x:v>Organizar pauta do dia seguinte</x:v>
      </x:c>
      <x:c r="E46" s="99" t="n">
        <x:v>1</x:v>
      </x:c>
      <x:c r="F46" s="100" t="n">
        <x:v>0</x:v>
      </x:c>
      <x:c r="G46" s="101" t="str">
        <x:v>Não iniciado</x:v>
      </x:c>
      <x:c r="H46" s="85" t="str"/>
      <x:c r="I46" s="99" t="n">
        <x:f>IF(OR(G46="Concluído",F46&gt;=E46),1,0)</x:f>
        <x:v>0</x:v>
      </x:c>
      <x:c r="J46" s="77" t="str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94" t="str">
        <x:v>Quarta-feira</x:v>
      </x:c>
      <x:c r="B47" s="77" t="str">
        <x:v>Até 17h</x:v>
      </x:c>
      <x:c r="C47" s="77" t="str">
        <x:v>Gestão</x:v>
      </x:c>
      <x:c r="D47" s="82" t="str">
        <x:v>Enviar relatório diário de produtividade</x:v>
      </x:c>
      <x:c r="E47" s="99" t="n">
        <x:v>1</x:v>
      </x:c>
      <x:c r="F47" s="100" t="n">
        <x:v>0</x:v>
      </x:c>
      <x:c r="G47" s="101" t="str">
        <x:v>Não iniciado</x:v>
      </x:c>
      <x:c r="H47" s="85" t="str"/>
      <x:c r="I47" s="99" t="n">
        <x:f>IF(OR(G47="Concluído",F47&gt;=E47),1,0)</x:f>
        <x:v>0</x:v>
      </x:c>
      <x:c r="J47" s="77" t="str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94" t="str">
        <x:v>Quinta-feira</x:v>
      </x:c>
      <x:c r="B48" s="77" t="str">
        <x:v>8h às 8h30</x:v>
      </x:c>
      <x:c r="C48" s="77" t="str">
        <x:v>Pesquisa</x:v>
      </x:c>
      <x:c r="D48" s="82" t="str">
        <x:v>Levantar novidades em fontes oficiais</x:v>
      </x:c>
      <x:c r="E48" s="99" t="n">
        <x:v>3</x:v>
      </x:c>
      <x:c r="F48" s="100" t="n">
        <x:v>0</x:v>
      </x:c>
      <x:c r="G48" s="101" t="str">
        <x:v>Não iniciado</x:v>
      </x:c>
      <x:c r="H48" s="85" t="str"/>
      <x:c r="I48" s="99" t="n">
        <x:f>IF(OR(G48="Concluído",F48&gt;=E48),1,0)</x:f>
        <x:v>0</x:v>
      </x:c>
      <x:c r="J48" s="77" t="str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94" t="str">
        <x:v>Quinta-feira</x:v>
      </x:c>
      <x:c r="B49" s="77" t="str">
        <x:v>8h30 às 9h</x:v>
      </x:c>
      <x:c r="C49" s="77" t="str">
        <x:v>Pesquisa</x:v>
      </x:c>
      <x:c r="D49" s="82" t="str">
        <x:v>Pesquisar decisão ou tema relevante</x:v>
      </x:c>
      <x:c r="E49" s="99" t="n">
        <x:v>1</x:v>
      </x:c>
      <x:c r="F49" s="100" t="n">
        <x:v>0</x:v>
      </x:c>
      <x:c r="G49" s="101" t="str">
        <x:v>Não iniciado</x:v>
      </x:c>
      <x:c r="H49" s="85" t="str"/>
      <x:c r="I49" s="99" t="n">
        <x:f>IF(OR(G49="Concluído",F49&gt;=E49),1,0)</x:f>
        <x:v>0</x:v>
      </x:c>
      <x:c r="J49" s="77" t="str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94" t="str">
        <x:v>Quinta-feira</x:v>
      </x:c>
      <x:c r="B50" s="77" t="str">
        <x:v>9h às 10h</x:v>
      </x:c>
      <x:c r="C50" s="77" t="str">
        <x:v>Roteiros</x:v>
      </x:c>
      <x:c r="D50" s="82" t="str">
        <x:v>Produzir roteiros curtos para Reels</x:v>
      </x:c>
      <x:c r="E50" s="99" t="n">
        <x:v>3</x:v>
      </x:c>
      <x:c r="F50" s="100" t="n">
        <x:v>0</x:v>
      </x:c>
      <x:c r="G50" s="101" t="str">
        <x:v>Não iniciado</x:v>
      </x:c>
      <x:c r="H50" s="85" t="str"/>
      <x:c r="I50" s="99" t="n">
        <x:f>IF(OR(G50="Concluído",F50&gt;=E50),1,0)</x:f>
        <x:v>0</x:v>
      </x:c>
      <x:c r="J50" s="77" t="str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94" t="str">
        <x:v>Quinta-feira</x:v>
      </x:c>
      <x:c r="B51" s="77" t="str">
        <x:v>10h às 11h</x:v>
      </x:c>
      <x:c r="C51" s="77" t="str">
        <x:v>Captação</x:v>
      </x:c>
      <x:c r="D51" s="82" t="str">
        <x:v>Gravar vídeo com funcionário</x:v>
      </x:c>
      <x:c r="E51" s="99" t="n">
        <x:v>1</x:v>
      </x:c>
      <x:c r="F51" s="100" t="n">
        <x:v>0</x:v>
      </x:c>
      <x:c r="G51" s="101" t="str">
        <x:v>Não iniciado</x:v>
      </x:c>
      <x:c r="H51" s="85" t="str"/>
      <x:c r="I51" s="99" t="n">
        <x:f>IF(OR(G51="Concluído",F51&gt;=E51),1,0)</x:f>
        <x:v>0</x:v>
      </x:c>
      <x:c r="J51" s="77" t="str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94" t="str">
        <x:v>Quinta-feira</x:v>
      </x:c>
      <x:c r="B52" s="77" t="str">
        <x:v>10h às 11h</x:v>
      </x:c>
      <x:c r="C52" s="77" t="str">
        <x:v>Captação</x:v>
      </x:c>
      <x:c r="D52" s="82" t="str">
        <x:v>Produzir fotos e vídeos de bastidores</x:v>
      </x:c>
      <x:c r="E52" s="99" t="n">
        <x:v>8</x:v>
      </x:c>
      <x:c r="F52" s="100" t="n">
        <x:v>0</x:v>
      </x:c>
      <x:c r="G52" s="101" t="str">
        <x:v>Não iniciado</x:v>
      </x:c>
      <x:c r="H52" s="85" t="str"/>
      <x:c r="I52" s="99" t="n">
        <x:f>IF(OR(G52="Concluído",F52&gt;=E52),1,0)</x:f>
        <x:v>0</x:v>
      </x:c>
      <x:c r="J52" s="77" t="str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94" t="str">
        <x:v>Quinta-feira</x:v>
      </x:c>
      <x:c r="B53" s="77" t="str">
        <x:v>11h às 12h</x:v>
      </x:c>
      <x:c r="C53" s="77" t="str">
        <x:v>Institucional</x:v>
      </x:c>
      <x:c r="D53" s="82" t="str">
        <x:v>Gravar vídeo de localização</x:v>
      </x:c>
      <x:c r="E53" s="99" t="n">
        <x:v>1</x:v>
      </x:c>
      <x:c r="F53" s="100" t="n">
        <x:v>0</x:v>
      </x:c>
      <x:c r="G53" s="101" t="str">
        <x:v>Não iniciado</x:v>
      </x:c>
      <x:c r="H53" s="85" t="str"/>
      <x:c r="I53" s="99" t="n">
        <x:f>IF(OR(G53="Concluído",F53&gt;=E53),1,0)</x:f>
        <x:v>0</x:v>
      </x:c>
      <x:c r="J53" s="77" t="str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94" t="str">
        <x:v>Quinta-feira</x:v>
      </x:c>
      <x:c r="B54" s="77" t="str">
        <x:v>11h às 12h</x:v>
      </x:c>
      <x:c r="C54" s="77" t="str">
        <x:v>Institucional</x:v>
      </x:c>
      <x:c r="D54" s="82" t="str">
        <x:v>Gravar conteúdo da estrutura ou serviço</x:v>
      </x:c>
      <x:c r="E54" s="99" t="n">
        <x:v>1</x:v>
      </x:c>
      <x:c r="F54" s="100" t="n">
        <x:v>0</x:v>
      </x:c>
      <x:c r="G54" s="101" t="str">
        <x:v>Não iniciado</x:v>
      </x:c>
      <x:c r="H54" s="85" t="str"/>
      <x:c r="I54" s="99" t="n">
        <x:f>IF(OR(G54="Concluído",F54&gt;=E54),1,0)</x:f>
        <x:v>0</x:v>
      </x:c>
      <x:c r="J54" s="77" t="str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94" t="str">
        <x:v>Quinta-feira</x:v>
      </x:c>
      <x:c r="B55" s="77" t="str">
        <x:v>13h às 14h30</x:v>
      </x:c>
      <x:c r="C55" s="77" t="str">
        <x:v>Edição</x:v>
      </x:c>
      <x:c r="D55" s="82" t="str">
        <x:v>Editar Reels</x:v>
      </x:c>
      <x:c r="E55" s="99" t="n">
        <x:v>2</x:v>
      </x:c>
      <x:c r="F55" s="100" t="n">
        <x:v>0</x:v>
      </x:c>
      <x:c r="G55" s="101" t="str">
        <x:v>Não iniciado</x:v>
      </x:c>
      <x:c r="H55" s="85" t="str"/>
      <x:c r="I55" s="99" t="n">
        <x:f>IF(OR(G55="Concluído",F55&gt;=E55),1,0)</x:f>
        <x:v>0</x:v>
      </x:c>
      <x:c r="J55" s="77" t="str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94" t="str">
        <x:v>Quinta-feira</x:v>
      </x:c>
      <x:c r="B56" s="77" t="str">
        <x:v>14h30 às 15h30</x:v>
      </x:c>
      <x:c r="C56" s="77" t="str">
        <x:v>Publicação</x:v>
      </x:c>
      <x:c r="D56" s="82" t="str">
        <x:v>Publicar Reel principal</x:v>
      </x:c>
      <x:c r="E56" s="99" t="n">
        <x:v>1</x:v>
      </x:c>
      <x:c r="F56" s="100" t="n">
        <x:v>0</x:v>
      </x:c>
      <x:c r="G56" s="101" t="str">
        <x:v>Não iniciado</x:v>
      </x:c>
      <x:c r="H56" s="85" t="str"/>
      <x:c r="I56" s="99" t="n">
        <x:f>IF(OR(G56="Concluído",F56&gt;=E56),1,0)</x:f>
        <x:v>0</x:v>
      </x:c>
      <x:c r="J56" s="77" t="str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94" t="str">
        <x:v>Quinta-feira</x:v>
      </x:c>
      <x:c r="B57" s="77" t="str">
        <x:v>14h30 às 15h30</x:v>
      </x:c>
      <x:c r="C57" s="77" t="str">
        <x:v>Publicação</x:v>
      </x:c>
      <x:c r="D57" s="82" t="str">
        <x:v>Publicar Stories</x:v>
      </x:c>
      <x:c r="E57" s="99" t="n">
        <x:v>10</x:v>
      </x:c>
      <x:c r="F57" s="100" t="n">
        <x:v>0</x:v>
      </x:c>
      <x:c r="G57" s="101" t="str">
        <x:v>Não iniciado</x:v>
      </x:c>
      <x:c r="H57" s="85" t="str"/>
      <x:c r="I57" s="99" t="n">
        <x:f>IF(OR(G57="Concluído",F57&gt;=E57),1,0)</x:f>
        <x:v>0</x:v>
      </x:c>
      <x:c r="J57" s="77" t="str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94" t="str">
        <x:v>Quinta-feira</x:v>
      </x:c>
      <x:c r="B58" s="77" t="str">
        <x:v>15h às 15h30</x:v>
      </x:c>
      <x:c r="C58" s="77" t="str">
        <x:v>Relacionamento</x:v>
      </x:c>
      <x:c r="D58" s="82" t="str">
        <x:v>Responder comentários e interações</x:v>
      </x:c>
      <x:c r="E58" s="99" t="n">
        <x:v>1</x:v>
      </x:c>
      <x:c r="F58" s="100" t="n">
        <x:v>0</x:v>
      </x:c>
      <x:c r="G58" s="101" t="str">
        <x:v>Não iniciado</x:v>
      </x:c>
      <x:c r="H58" s="85" t="str"/>
      <x:c r="I58" s="99" t="n">
        <x:f>IF(OR(G58="Concluído",F58&gt;=E58),1,0)</x:f>
        <x:v>0</x:v>
      </x:c>
      <x:c r="J58" s="77" t="str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94" t="str">
        <x:v>Quinta-feira</x:v>
      </x:c>
      <x:c r="B59" s="77" t="str">
        <x:v>15h30 às 16h30</x:v>
      </x:c>
      <x:c r="C59" s="77" t="str">
        <x:v>Organização</x:v>
      </x:c>
      <x:c r="D59" s="82" t="str">
        <x:v>Adicionar conteúdos ao banco</x:v>
      </x:c>
      <x:c r="E59" s="99" t="n">
        <x:v>4</x:v>
      </x:c>
      <x:c r="F59" s="100" t="n">
        <x:v>0</x:v>
      </x:c>
      <x:c r="G59" s="101" t="str">
        <x:v>Não iniciado</x:v>
      </x:c>
      <x:c r="H59" s="85" t="str"/>
      <x:c r="I59" s="99" t="n">
        <x:f>IF(OR(G59="Concluído",F59&gt;=E59),1,0)</x:f>
        <x:v>0</x:v>
      </x:c>
      <x:c r="J59" s="77" t="str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94" t="str">
        <x:v>Quinta-feira</x:v>
      </x:c>
      <x:c r="B60" s="77" t="str">
        <x:v>16h30 às 17h</x:v>
      </x:c>
      <x:c r="C60" s="77" t="str">
        <x:v>Planejamento</x:v>
      </x:c>
      <x:c r="D60" s="82" t="str">
        <x:v>Organizar pauta do dia seguinte</x:v>
      </x:c>
      <x:c r="E60" s="99" t="n">
        <x:v>1</x:v>
      </x:c>
      <x:c r="F60" s="100" t="n">
        <x:v>0</x:v>
      </x:c>
      <x:c r="G60" s="101" t="str">
        <x:v>Não iniciado</x:v>
      </x:c>
      <x:c r="H60" s="85" t="str"/>
      <x:c r="I60" s="99" t="n">
        <x:f>IF(OR(G60="Concluído",F60&gt;=E60),1,0)</x:f>
        <x:v>0</x:v>
      </x:c>
      <x:c r="J60" s="77" t="str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94" t="str">
        <x:v>Quinta-feira</x:v>
      </x:c>
      <x:c r="B61" s="77" t="str">
        <x:v>Até 17h</x:v>
      </x:c>
      <x:c r="C61" s="77" t="str">
        <x:v>Gestão</x:v>
      </x:c>
      <x:c r="D61" s="82" t="str">
        <x:v>Enviar relatório diário de produtividade</x:v>
      </x:c>
      <x:c r="E61" s="99" t="n">
        <x:v>1</x:v>
      </x:c>
      <x:c r="F61" s="100" t="n">
        <x:v>0</x:v>
      </x:c>
      <x:c r="G61" s="101" t="str">
        <x:v>Não iniciado</x:v>
      </x:c>
      <x:c r="H61" s="85" t="str"/>
      <x:c r="I61" s="99" t="n">
        <x:f>IF(OR(G61="Concluído",F61&gt;=E61),1,0)</x:f>
        <x:v>0</x:v>
      </x:c>
      <x:c r="J61" s="77" t="str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94" t="str">
        <x:v>Sexta-feira</x:v>
      </x:c>
      <x:c r="B62" s="77" t="str">
        <x:v>8h às 8h30</x:v>
      </x:c>
      <x:c r="C62" s="77" t="str">
        <x:v>Pesquisa</x:v>
      </x:c>
      <x:c r="D62" s="82" t="str">
        <x:v>Levantar novidades em fontes oficiais</x:v>
      </x:c>
      <x:c r="E62" s="99" t="n">
        <x:v>3</x:v>
      </x:c>
      <x:c r="F62" s="100" t="n">
        <x:v>0</x:v>
      </x:c>
      <x:c r="G62" s="101" t="str">
        <x:v>Não iniciado</x:v>
      </x:c>
      <x:c r="H62" s="85" t="str"/>
      <x:c r="I62" s="99" t="n">
        <x:f>IF(OR(G62="Concluído",F62&gt;=E62),1,0)</x:f>
        <x:v>0</x:v>
      </x:c>
      <x:c r="J62" s="77" t="str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94" t="str">
        <x:v>Sexta-feira</x:v>
      </x:c>
      <x:c r="B63" s="77" t="str">
        <x:v>8h30 às 9h</x:v>
      </x:c>
      <x:c r="C63" s="77" t="str">
        <x:v>Pesquisa</x:v>
      </x:c>
      <x:c r="D63" s="82" t="str">
        <x:v>Pesquisar decisão ou tema relevante</x:v>
      </x:c>
      <x:c r="E63" s="99" t="n">
        <x:v>1</x:v>
      </x:c>
      <x:c r="F63" s="100" t="n">
        <x:v>0</x:v>
      </x:c>
      <x:c r="G63" s="101" t="str">
        <x:v>Não iniciado</x:v>
      </x:c>
      <x:c r="H63" s="85" t="str"/>
      <x:c r="I63" s="99" t="n">
        <x:f>IF(OR(G63="Concluído",F63&gt;=E63),1,0)</x:f>
        <x:v>0</x:v>
      </x:c>
      <x:c r="J63" s="77" t="str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94" t="str">
        <x:v>Sexta-feira</x:v>
      </x:c>
      <x:c r="B64" s="77" t="str">
        <x:v>9h às 10h</x:v>
      </x:c>
      <x:c r="C64" s="77" t="str">
        <x:v>Roteiros</x:v>
      </x:c>
      <x:c r="D64" s="82" t="str">
        <x:v>Produzir roteiros curtos para Reels</x:v>
      </x:c>
      <x:c r="E64" s="99" t="n">
        <x:v>3</x:v>
      </x:c>
      <x:c r="F64" s="100" t="n">
        <x:v>0</x:v>
      </x:c>
      <x:c r="G64" s="101" t="str">
        <x:v>Não iniciado</x:v>
      </x:c>
      <x:c r="H64" s="85" t="str"/>
      <x:c r="I64" s="99" t="n">
        <x:f>IF(OR(G64="Concluído",F64&gt;=E64),1,0)</x:f>
        <x:v>0</x:v>
      </x:c>
      <x:c r="J64" s="77" t="str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94" t="str">
        <x:v>Sexta-feira</x:v>
      </x:c>
      <x:c r="B65" s="77" t="str">
        <x:v>10h às 11h</x:v>
      </x:c>
      <x:c r="C65" s="77" t="str">
        <x:v>Captação</x:v>
      </x:c>
      <x:c r="D65" s="82" t="str">
        <x:v>Gravar vídeo com funcionário</x:v>
      </x:c>
      <x:c r="E65" s="99" t="n">
        <x:v>1</x:v>
      </x:c>
      <x:c r="F65" s="100" t="n">
        <x:v>0</x:v>
      </x:c>
      <x:c r="G65" s="101" t="str">
        <x:v>Não iniciado</x:v>
      </x:c>
      <x:c r="H65" s="85" t="str"/>
      <x:c r="I65" s="99" t="n">
        <x:f>IF(OR(G65="Concluído",F65&gt;=E65),1,0)</x:f>
        <x:v>0</x:v>
      </x:c>
      <x:c r="J65" s="77" t="str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94" t="str">
        <x:v>Sexta-feira</x:v>
      </x:c>
      <x:c r="B66" s="77" t="str">
        <x:v>10h às 11h</x:v>
      </x:c>
      <x:c r="C66" s="77" t="str">
        <x:v>Captação</x:v>
      </x:c>
      <x:c r="D66" s="82" t="str">
        <x:v>Produzir fotos e vídeos de bastidores</x:v>
      </x:c>
      <x:c r="E66" s="99" t="n">
        <x:v>8</x:v>
      </x:c>
      <x:c r="F66" s="100" t="n">
        <x:v>0</x:v>
      </x:c>
      <x:c r="G66" s="101" t="str">
        <x:v>Não iniciado</x:v>
      </x:c>
      <x:c r="H66" s="85" t="str"/>
      <x:c r="I66" s="99" t="n">
        <x:f>IF(OR(G66="Concluído",F66&gt;=E66),1,0)</x:f>
        <x:v>0</x:v>
      </x:c>
      <x:c r="J66" s="77" t="str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94" t="str">
        <x:v>Sexta-feira</x:v>
      </x:c>
      <x:c r="B67" s="77" t="str">
        <x:v>11h às 12h</x:v>
      </x:c>
      <x:c r="C67" s="77" t="str">
        <x:v>Institucional</x:v>
      </x:c>
      <x:c r="D67" s="82" t="str">
        <x:v>Gravar vídeo de localização</x:v>
      </x:c>
      <x:c r="E67" s="99" t="n">
        <x:v>1</x:v>
      </x:c>
      <x:c r="F67" s="100" t="n">
        <x:v>0</x:v>
      </x:c>
      <x:c r="G67" s="101" t="str">
        <x:v>Não iniciado</x:v>
      </x:c>
      <x:c r="H67" s="85" t="str"/>
      <x:c r="I67" s="99" t="n">
        <x:f>IF(OR(G67="Concluído",F67&gt;=E67),1,0)</x:f>
        <x:v>0</x:v>
      </x:c>
      <x:c r="J67" s="77" t="str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94" t="str">
        <x:v>Sexta-feira</x:v>
      </x:c>
      <x:c r="B68" s="77" t="str">
        <x:v>11h às 12h</x:v>
      </x:c>
      <x:c r="C68" s="77" t="str">
        <x:v>Institucional</x:v>
      </x:c>
      <x:c r="D68" s="82" t="str">
        <x:v>Gravar conteúdo da estrutura ou serviço</x:v>
      </x:c>
      <x:c r="E68" s="99" t="n">
        <x:v>1</x:v>
      </x:c>
      <x:c r="F68" s="100" t="n">
        <x:v>0</x:v>
      </x:c>
      <x:c r="G68" s="101" t="str">
        <x:v>Não iniciado</x:v>
      </x:c>
      <x:c r="H68" s="85" t="str"/>
      <x:c r="I68" s="99" t="n">
        <x:f>IF(OR(G68="Concluído",F68&gt;=E68),1,0)</x:f>
        <x:v>0</x:v>
      </x:c>
      <x:c r="J68" s="77" t="str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94" t="str">
        <x:v>Sexta-feira</x:v>
      </x:c>
      <x:c r="B69" s="77" t="str">
        <x:v>13h às 14h30</x:v>
      </x:c>
      <x:c r="C69" s="77" t="str">
        <x:v>Edição</x:v>
      </x:c>
      <x:c r="D69" s="82" t="str">
        <x:v>Editar Reels</x:v>
      </x:c>
      <x:c r="E69" s="99" t="n">
        <x:v>2</x:v>
      </x:c>
      <x:c r="F69" s="100" t="n">
        <x:v>0</x:v>
      </x:c>
      <x:c r="G69" s="101" t="str">
        <x:v>Não iniciado</x:v>
      </x:c>
      <x:c r="H69" s="85" t="str"/>
      <x:c r="I69" s="99" t="n">
        <x:f>IF(OR(G69="Concluído",F69&gt;=E69),1,0)</x:f>
        <x:v>0</x:v>
      </x:c>
      <x:c r="J69" s="77" t="str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94" t="str">
        <x:v>Sexta-feira</x:v>
      </x:c>
      <x:c r="B70" s="77" t="str">
        <x:v>14h30 às 15h30</x:v>
      </x:c>
      <x:c r="C70" s="77" t="str">
        <x:v>Publicação</x:v>
      </x:c>
      <x:c r="D70" s="82" t="str">
        <x:v>Publicar Reel principal</x:v>
      </x:c>
      <x:c r="E70" s="99" t="n">
        <x:v>1</x:v>
      </x:c>
      <x:c r="F70" s="100" t="n">
        <x:v>0</x:v>
      </x:c>
      <x:c r="G70" s="101" t="str">
        <x:v>Não iniciado</x:v>
      </x:c>
      <x:c r="H70" s="85" t="str"/>
      <x:c r="I70" s="99" t="n">
        <x:f>IF(OR(G70="Concluído",F70&gt;=E70),1,0)</x:f>
        <x:v>0</x:v>
      </x:c>
      <x:c r="J70" s="77" t="str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94" t="str">
        <x:v>Sexta-feira</x:v>
      </x:c>
      <x:c r="B71" s="77" t="str">
        <x:v>14h30 às 15h30</x:v>
      </x:c>
      <x:c r="C71" s="77" t="str">
        <x:v>Publicação</x:v>
      </x:c>
      <x:c r="D71" s="82" t="str">
        <x:v>Publicar Stories</x:v>
      </x:c>
      <x:c r="E71" s="99" t="n">
        <x:v>10</x:v>
      </x:c>
      <x:c r="F71" s="100" t="n">
        <x:v>0</x:v>
      </x:c>
      <x:c r="G71" s="101" t="str">
        <x:v>Não iniciado</x:v>
      </x:c>
      <x:c r="H71" s="85" t="str"/>
      <x:c r="I71" s="99" t="n">
        <x:f>IF(OR(G71="Concluído",F71&gt;=E71),1,0)</x:f>
        <x:v>0</x:v>
      </x:c>
      <x:c r="J71" s="77" t="str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94" t="str">
        <x:v>Sexta-feira</x:v>
      </x:c>
      <x:c r="B72" s="77" t="str">
        <x:v>15h às 15h30</x:v>
      </x:c>
      <x:c r="C72" s="77" t="str">
        <x:v>Relacionamento</x:v>
      </x:c>
      <x:c r="D72" s="82" t="str">
        <x:v>Responder comentários e interações</x:v>
      </x:c>
      <x:c r="E72" s="99" t="n">
        <x:v>1</x:v>
      </x:c>
      <x:c r="F72" s="100" t="n">
        <x:v>0</x:v>
      </x:c>
      <x:c r="G72" s="101" t="str">
        <x:v>Não iniciado</x:v>
      </x:c>
      <x:c r="H72" s="85" t="str"/>
      <x:c r="I72" s="99" t="n">
        <x:f>IF(OR(G72="Concluído",F72&gt;=E72),1,0)</x:f>
        <x:v>0</x:v>
      </x:c>
      <x:c r="J72" s="77" t="str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94" t="str">
        <x:v>Sexta-feira</x:v>
      </x:c>
      <x:c r="B73" s="77" t="str">
        <x:v>15h30 às 16h30</x:v>
      </x:c>
      <x:c r="C73" s="77" t="str">
        <x:v>Organização</x:v>
      </x:c>
      <x:c r="D73" s="82" t="str">
        <x:v>Adicionar conteúdos ao banco</x:v>
      </x:c>
      <x:c r="E73" s="99" t="n">
        <x:v>4</x:v>
      </x:c>
      <x:c r="F73" s="100" t="n">
        <x:v>0</x:v>
      </x:c>
      <x:c r="G73" s="101" t="str">
        <x:v>Não iniciado</x:v>
      </x:c>
      <x:c r="H73" s="85" t="str"/>
      <x:c r="I73" s="99" t="n">
        <x:f>IF(OR(G73="Concluído",F73&gt;=E73),1,0)</x:f>
        <x:v>0</x:v>
      </x:c>
      <x:c r="J73" s="77" t="str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94" t="str">
        <x:v>Sexta-feira</x:v>
      </x:c>
      <x:c r="B74" s="77" t="str">
        <x:v>16h30 às 17h</x:v>
      </x:c>
      <x:c r="C74" s="77" t="str">
        <x:v>Planejamento</x:v>
      </x:c>
      <x:c r="D74" s="82" t="str">
        <x:v>Organizar pauta do dia seguinte</x:v>
      </x:c>
      <x:c r="E74" s="99" t="n">
        <x:v>1</x:v>
      </x:c>
      <x:c r="F74" s="100" t="n">
        <x:v>0</x:v>
      </x:c>
      <x:c r="G74" s="101" t="str">
        <x:v>Não iniciado</x:v>
      </x:c>
      <x:c r="H74" s="85" t="str"/>
      <x:c r="I74" s="99" t="n">
        <x:f>IF(OR(G74="Concluído",F74&gt;=E74),1,0)</x:f>
        <x:v>0</x:v>
      </x:c>
      <x:c r="J74" s="77" t="str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95" t="str">
        <x:v>Sexta-feira</x:v>
      </x:c>
      <x:c r="B75" s="79" t="str">
        <x:v>Até 17h</x:v>
      </x:c>
      <x:c r="C75" s="79" t="str">
        <x:v>Gestão</x:v>
      </x:c>
      <x:c r="D75" s="83" t="str">
        <x:v>Enviar relatório diário de produtividade</x:v>
      </x:c>
      <x:c r="E75" s="102" t="n">
        <x:v>1</x:v>
      </x:c>
      <x:c r="F75" s="103" t="n">
        <x:v>0</x:v>
      </x:c>
      <x:c r="G75" s="104" t="str">
        <x:v>Não iniciado</x:v>
      </x:c>
      <x:c r="H75" s="86" t="str"/>
      <x:c r="I75" s="102" t="n">
        <x:f>IF(OR(G75="Concluído",F75&gt;=E75),1,0)</x:f>
        <x:v>0</x:v>
      </x:c>
      <x:c r="J75" s="79" t="str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mergeCells>
    <x:mergeCell ref="A2:J2"/>
    <x:mergeCell ref="A4:J4"/>
  </x:mergeCells>
  <x:conditionalFormatting sqref="G6:G75">
    <x:cfRule type="containsText" dxfId="2" priority="1" operator="containsText" text="Concluído"/>
    <x:cfRule type="containsText" dxfId="3" priority="2" operator="containsText" text="Bloqueado"/>
    <x:cfRule type="containsText" dxfId="4" priority="3" operator="containsText" text="Em andamento"/>
  </x:conditionalFormatting>
  <x:conditionalFormatting sqref="I6:I75">
    <x:cfRule type="cellIs" dxfId="5" priority="4" operator="equal">
      <x:formula>1</x:formula>
    </x:cfRule>
    <x:cfRule type="cellIs" dxfId="6" priority="5" operator="equal">
      <x:formula>0</x:formula>
    </x:cfRule>
  </x:conditionalFormatting>
  <x:dataValidations count="2">
    <x:dataValidation type="list" sqref="G6:G75">
      <x:formula1>"Não iniciado,Em andamento,Concluído,Bloqueado"</x:formula1>
    </x:dataValidation>
    <x:dataValidation type="whole" operator="between" sqref="F6:F75">
      <x:formula1>0</x:formula1>
      <x:formula2>1000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6" hidden="0" customWidth="1"/>
    <x:col min="3" max="3" width="24" hidden="0" customWidth="1"/>
    <x:col min="4" max="4" width="18" hidden="0" customWidth="1"/>
    <x:col min="5" max="5" width="34" hidden="0" customWidth="1"/>
    <x:col min="6" max="6" width="34" hidden="0" customWidth="1"/>
    <x:col min="7" max="7" width="19" hidden="0" customWidth="1"/>
    <x:col min="8" max="8" width="19" hidden="0" customWidth="1"/>
    <x:col min="9" max="9" width="16" hidden="0" customWidth="1"/>
    <x:col min="10" max="10" width="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" customHeight="1">
      <x:c r="A2" s="3" t="str">
        <x:v>Banco de pautas e conteúdos</x:v>
      </x:c>
      <x:c r="B2" s="3" t="str">
        <x:v>Banco de pautas e conteúdos</x:v>
      </x:c>
      <x:c r="C2" s="3" t="str">
        <x:v>Banco de pautas e conteúdos</x:v>
      </x:c>
      <x:c r="D2" s="3" t="str">
        <x:v>Banco de pautas e conteúdos</x:v>
      </x:c>
      <x:c r="E2" s="3" t="str">
        <x:v>Banco de pautas e conteúdos</x:v>
      </x:c>
      <x:c r="F2" s="3" t="str">
        <x:v>Banco de pautas e conteúdos</x:v>
      </x:c>
      <x:c r="G2" s="3" t="str">
        <x:v>Banco de pautas e conteúdos</x:v>
      </x:c>
      <x:c r="H2" s="3" t="str">
        <x:v>Banco de pautas e conteúdos</x:v>
      </x:c>
      <x:c r="I2" s="3" t="str">
        <x:v>Banco de pautas e conteúdos</x:v>
      </x:c>
      <x:c r="J2" s="3" t="str">
        <x:v>Banco de pautas e conteúdos</x:v>
      </x:c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0" t="str">
        <x:v>Registre toda ideia com fonte. Conteúdo jurídico ou decisão judicial deve ser aprovado antes da publicação.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6" t="str">
        <x:v>Data da pesquisa</x:v>
      </x:c>
      <x:c r="B5" s="16" t="str">
        <x:v>Tema</x:v>
      </x:c>
      <x:c r="C5" s="16" t="str">
        <x:v>Benefício ou assunto</x:v>
      </x:c>
      <x:c r="D5" s="16" t="str">
        <x:v>Formato</x:v>
      </x:c>
      <x:c r="E5" s="16" t="str">
        <x:v>Gancho</x:v>
      </x:c>
      <x:c r="F5" s="16" t="str">
        <x:v>Fonte oficial</x:v>
      </x:c>
      <x:c r="G5" s="16" t="str">
        <x:v>Aprovação jurídica</x:v>
      </x:c>
      <x:c r="H5" s="16" t="str">
        <x:v>Status</x:v>
      </x:c>
      <x:c r="I5" s="16" t="str">
        <x:v>Data prevista</x:v>
      </x:c>
      <x:c r="J5" s="16" t="str">
        <x:v>Link ou arquivo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12"/>
      <x:c r="B6" s="115" t="str"/>
      <x:c r="C6" s="115" t="str"/>
      <x:c r="D6" s="115" t="str">
        <x:v>Reel</x:v>
      </x:c>
      <x:c r="E6" s="115" t="str"/>
      <x:c r="F6" s="115" t="str"/>
      <x:c r="G6" s="116" t="str">
        <x:v>Pendente</x:v>
      </x:c>
      <x:c r="H6" s="116" t="str">
        <x:v>Ideia</x:v>
      </x:c>
      <x:c r="I6" s="117"/>
      <x:c r="J6" s="116" t="str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13"/>
      <x:c r="B7" s="118" t="str"/>
      <x:c r="C7" s="118" t="str"/>
      <x:c r="D7" s="118" t="str">
        <x:v>Reel</x:v>
      </x:c>
      <x:c r="E7" s="118" t="str"/>
      <x:c r="F7" s="118" t="str"/>
      <x:c r="G7" s="119" t="str">
        <x:v>Pendente</x:v>
      </x:c>
      <x:c r="H7" s="119" t="str">
        <x:v>Ideia</x:v>
      </x:c>
      <x:c r="I7" s="120"/>
      <x:c r="J7" s="119" t="str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13"/>
      <x:c r="B8" s="118" t="str"/>
      <x:c r="C8" s="118" t="str"/>
      <x:c r="D8" s="118" t="str">
        <x:v>Reel</x:v>
      </x:c>
      <x:c r="E8" s="118" t="str"/>
      <x:c r="F8" s="118" t="str"/>
      <x:c r="G8" s="119" t="str">
        <x:v>Pendente</x:v>
      </x:c>
      <x:c r="H8" s="119" t="str">
        <x:v>Ideia</x:v>
      </x:c>
      <x:c r="I8" s="120"/>
      <x:c r="J8" s="119" t="str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13"/>
      <x:c r="B9" s="118" t="str"/>
      <x:c r="C9" s="118" t="str"/>
      <x:c r="D9" s="118" t="str">
        <x:v>Reel</x:v>
      </x:c>
      <x:c r="E9" s="118" t="str"/>
      <x:c r="F9" s="118" t="str"/>
      <x:c r="G9" s="119" t="str">
        <x:v>Pendente</x:v>
      </x:c>
      <x:c r="H9" s="119" t="str">
        <x:v>Ideia</x:v>
      </x:c>
      <x:c r="I9" s="120"/>
      <x:c r="J9" s="119" t="str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13"/>
      <x:c r="B10" s="118" t="str"/>
      <x:c r="C10" s="118" t="str"/>
      <x:c r="D10" s="118" t="str">
        <x:v>Reel</x:v>
      </x:c>
      <x:c r="E10" s="118" t="str"/>
      <x:c r="F10" s="118" t="str"/>
      <x:c r="G10" s="119" t="str">
        <x:v>Pendente</x:v>
      </x:c>
      <x:c r="H10" s="119" t="str">
        <x:v>Ideia</x:v>
      </x:c>
      <x:c r="I10" s="120"/>
      <x:c r="J10" s="119" t="str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13"/>
      <x:c r="B11" s="118" t="str"/>
      <x:c r="C11" s="118" t="str"/>
      <x:c r="D11" s="118" t="str">
        <x:v>Reel</x:v>
      </x:c>
      <x:c r="E11" s="118" t="str"/>
      <x:c r="F11" s="118" t="str"/>
      <x:c r="G11" s="119" t="str">
        <x:v>Pendente</x:v>
      </x:c>
      <x:c r="H11" s="119" t="str">
        <x:v>Ideia</x:v>
      </x:c>
      <x:c r="I11" s="120"/>
      <x:c r="J11" s="119" t="str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13"/>
      <x:c r="B12" s="118" t="str"/>
      <x:c r="C12" s="118" t="str"/>
      <x:c r="D12" s="118" t="str">
        <x:v>Reel</x:v>
      </x:c>
      <x:c r="E12" s="118" t="str"/>
      <x:c r="F12" s="118" t="str"/>
      <x:c r="G12" s="119" t="str">
        <x:v>Pendente</x:v>
      </x:c>
      <x:c r="H12" s="119" t="str">
        <x:v>Ideia</x:v>
      </x:c>
      <x:c r="I12" s="120"/>
      <x:c r="J12" s="119" t="str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13"/>
      <x:c r="B13" s="118" t="str"/>
      <x:c r="C13" s="118" t="str"/>
      <x:c r="D13" s="118" t="str">
        <x:v>Reel</x:v>
      </x:c>
      <x:c r="E13" s="118" t="str"/>
      <x:c r="F13" s="118" t="str"/>
      <x:c r="G13" s="119" t="str">
        <x:v>Pendente</x:v>
      </x:c>
      <x:c r="H13" s="119" t="str">
        <x:v>Ideia</x:v>
      </x:c>
      <x:c r="I13" s="120"/>
      <x:c r="J13" s="119" t="str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13"/>
      <x:c r="B14" s="118" t="str"/>
      <x:c r="C14" s="118" t="str"/>
      <x:c r="D14" s="118" t="str">
        <x:v>Reel</x:v>
      </x:c>
      <x:c r="E14" s="118" t="str"/>
      <x:c r="F14" s="118" t="str"/>
      <x:c r="G14" s="119" t="str">
        <x:v>Pendente</x:v>
      </x:c>
      <x:c r="H14" s="119" t="str">
        <x:v>Ideia</x:v>
      </x:c>
      <x:c r="I14" s="120"/>
      <x:c r="J14" s="119" t="str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13"/>
      <x:c r="B15" s="118" t="str"/>
      <x:c r="C15" s="118" t="str"/>
      <x:c r="D15" s="118" t="str">
        <x:v>Reel</x:v>
      </x:c>
      <x:c r="E15" s="118" t="str"/>
      <x:c r="F15" s="118" t="str"/>
      <x:c r="G15" s="119" t="str">
        <x:v>Pendente</x:v>
      </x:c>
      <x:c r="H15" s="119" t="str">
        <x:v>Ideia</x:v>
      </x:c>
      <x:c r="I15" s="120"/>
      <x:c r="J15" s="119" t="str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13"/>
      <x:c r="B16" s="118" t="str"/>
      <x:c r="C16" s="118" t="str"/>
      <x:c r="D16" s="118" t="str">
        <x:v>Reel</x:v>
      </x:c>
      <x:c r="E16" s="118" t="str"/>
      <x:c r="F16" s="118" t="str"/>
      <x:c r="G16" s="119" t="str">
        <x:v>Pendente</x:v>
      </x:c>
      <x:c r="H16" s="119" t="str">
        <x:v>Ideia</x:v>
      </x:c>
      <x:c r="I16" s="120"/>
      <x:c r="J16" s="119" t="str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13"/>
      <x:c r="B17" s="118" t="str"/>
      <x:c r="C17" s="118" t="str"/>
      <x:c r="D17" s="118" t="str">
        <x:v>Reel</x:v>
      </x:c>
      <x:c r="E17" s="118" t="str"/>
      <x:c r="F17" s="118" t="str"/>
      <x:c r="G17" s="119" t="str">
        <x:v>Pendente</x:v>
      </x:c>
      <x:c r="H17" s="119" t="str">
        <x:v>Ideia</x:v>
      </x:c>
      <x:c r="I17" s="120"/>
      <x:c r="J17" s="119" t="str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13"/>
      <x:c r="B18" s="118" t="str"/>
      <x:c r="C18" s="118" t="str"/>
      <x:c r="D18" s="118" t="str">
        <x:v>Reel</x:v>
      </x:c>
      <x:c r="E18" s="118" t="str"/>
      <x:c r="F18" s="118" t="str"/>
      <x:c r="G18" s="119" t="str">
        <x:v>Pendente</x:v>
      </x:c>
      <x:c r="H18" s="119" t="str">
        <x:v>Ideia</x:v>
      </x:c>
      <x:c r="I18" s="120"/>
      <x:c r="J18" s="119" t="str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13"/>
      <x:c r="B19" s="118" t="str"/>
      <x:c r="C19" s="118" t="str"/>
      <x:c r="D19" s="118" t="str">
        <x:v>Reel</x:v>
      </x:c>
      <x:c r="E19" s="118" t="str"/>
      <x:c r="F19" s="118" t="str"/>
      <x:c r="G19" s="119" t="str">
        <x:v>Pendente</x:v>
      </x:c>
      <x:c r="H19" s="119" t="str">
        <x:v>Ideia</x:v>
      </x:c>
      <x:c r="I19" s="120"/>
      <x:c r="J19" s="119" t="str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13"/>
      <x:c r="B20" s="118" t="str"/>
      <x:c r="C20" s="118" t="str"/>
      <x:c r="D20" s="118" t="str">
        <x:v>Reel</x:v>
      </x:c>
      <x:c r="E20" s="118" t="str"/>
      <x:c r="F20" s="118" t="str"/>
      <x:c r="G20" s="119" t="str">
        <x:v>Pendente</x:v>
      </x:c>
      <x:c r="H20" s="119" t="str">
        <x:v>Ideia</x:v>
      </x:c>
      <x:c r="I20" s="120"/>
      <x:c r="J20" s="119" t="str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13"/>
      <x:c r="B21" s="118" t="str"/>
      <x:c r="C21" s="118" t="str"/>
      <x:c r="D21" s="118" t="str">
        <x:v>Reel</x:v>
      </x:c>
      <x:c r="E21" s="118" t="str"/>
      <x:c r="F21" s="118" t="str"/>
      <x:c r="G21" s="119" t="str">
        <x:v>Pendente</x:v>
      </x:c>
      <x:c r="H21" s="119" t="str">
        <x:v>Ideia</x:v>
      </x:c>
      <x:c r="I21" s="120"/>
      <x:c r="J21" s="119" t="str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13"/>
      <x:c r="B22" s="118" t="str"/>
      <x:c r="C22" s="118" t="str"/>
      <x:c r="D22" s="118" t="str">
        <x:v>Reel</x:v>
      </x:c>
      <x:c r="E22" s="118" t="str"/>
      <x:c r="F22" s="118" t="str"/>
      <x:c r="G22" s="119" t="str">
        <x:v>Pendente</x:v>
      </x:c>
      <x:c r="H22" s="119" t="str">
        <x:v>Ideia</x:v>
      </x:c>
      <x:c r="I22" s="120"/>
      <x:c r="J22" s="119" t="str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13"/>
      <x:c r="B23" s="118" t="str"/>
      <x:c r="C23" s="118" t="str"/>
      <x:c r="D23" s="118" t="str">
        <x:v>Reel</x:v>
      </x:c>
      <x:c r="E23" s="118" t="str"/>
      <x:c r="F23" s="118" t="str"/>
      <x:c r="G23" s="119" t="str">
        <x:v>Pendente</x:v>
      </x:c>
      <x:c r="H23" s="119" t="str">
        <x:v>Ideia</x:v>
      </x:c>
      <x:c r="I23" s="120"/>
      <x:c r="J23" s="119" t="str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13"/>
      <x:c r="B24" s="118" t="str"/>
      <x:c r="C24" s="118" t="str"/>
      <x:c r="D24" s="118" t="str">
        <x:v>Reel</x:v>
      </x:c>
      <x:c r="E24" s="118" t="str"/>
      <x:c r="F24" s="118" t="str"/>
      <x:c r="G24" s="119" t="str">
        <x:v>Pendente</x:v>
      </x:c>
      <x:c r="H24" s="119" t="str">
        <x:v>Ideia</x:v>
      </x:c>
      <x:c r="I24" s="120"/>
      <x:c r="J24" s="119" t="str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13"/>
      <x:c r="B25" s="118" t="str"/>
      <x:c r="C25" s="118" t="str"/>
      <x:c r="D25" s="118" t="str">
        <x:v>Reel</x:v>
      </x:c>
      <x:c r="E25" s="118" t="str"/>
      <x:c r="F25" s="118" t="str"/>
      <x:c r="G25" s="119" t="str">
        <x:v>Pendente</x:v>
      </x:c>
      <x:c r="H25" s="119" t="str">
        <x:v>Ideia</x:v>
      </x:c>
      <x:c r="I25" s="120"/>
      <x:c r="J25" s="119" t="str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13"/>
      <x:c r="B26" s="118" t="str"/>
      <x:c r="C26" s="118" t="str"/>
      <x:c r="D26" s="118" t="str">
        <x:v>Reel</x:v>
      </x:c>
      <x:c r="E26" s="118" t="str"/>
      <x:c r="F26" s="118" t="str"/>
      <x:c r="G26" s="119" t="str">
        <x:v>Pendente</x:v>
      </x:c>
      <x:c r="H26" s="119" t="str">
        <x:v>Ideia</x:v>
      </x:c>
      <x:c r="I26" s="120"/>
      <x:c r="J26" s="119" t="str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13"/>
      <x:c r="B27" s="118" t="str"/>
      <x:c r="C27" s="118" t="str"/>
      <x:c r="D27" s="118" t="str">
        <x:v>Reel</x:v>
      </x:c>
      <x:c r="E27" s="118" t="str"/>
      <x:c r="F27" s="118" t="str"/>
      <x:c r="G27" s="119" t="str">
        <x:v>Pendente</x:v>
      </x:c>
      <x:c r="H27" s="119" t="str">
        <x:v>Ideia</x:v>
      </x:c>
      <x:c r="I27" s="120"/>
      <x:c r="J27" s="119" t="str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13"/>
      <x:c r="B28" s="118" t="str"/>
      <x:c r="C28" s="118" t="str"/>
      <x:c r="D28" s="118" t="str">
        <x:v>Reel</x:v>
      </x:c>
      <x:c r="E28" s="118" t="str"/>
      <x:c r="F28" s="118" t="str"/>
      <x:c r="G28" s="119" t="str">
        <x:v>Pendente</x:v>
      </x:c>
      <x:c r="H28" s="119" t="str">
        <x:v>Ideia</x:v>
      </x:c>
      <x:c r="I28" s="120"/>
      <x:c r="J28" s="119" t="str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13"/>
      <x:c r="B29" s="118" t="str"/>
      <x:c r="C29" s="118" t="str"/>
      <x:c r="D29" s="118" t="str">
        <x:v>Reel</x:v>
      </x:c>
      <x:c r="E29" s="118" t="str"/>
      <x:c r="F29" s="118" t="str"/>
      <x:c r="G29" s="119" t="str">
        <x:v>Pendente</x:v>
      </x:c>
      <x:c r="H29" s="119" t="str">
        <x:v>Ideia</x:v>
      </x:c>
      <x:c r="I29" s="120"/>
      <x:c r="J29" s="119" t="str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13"/>
      <x:c r="B30" s="118" t="str"/>
      <x:c r="C30" s="118" t="str"/>
      <x:c r="D30" s="118" t="str">
        <x:v>Reel</x:v>
      </x:c>
      <x:c r="E30" s="118" t="str"/>
      <x:c r="F30" s="118" t="str"/>
      <x:c r="G30" s="119" t="str">
        <x:v>Pendente</x:v>
      </x:c>
      <x:c r="H30" s="119" t="str">
        <x:v>Ideia</x:v>
      </x:c>
      <x:c r="I30" s="120"/>
      <x:c r="J30" s="119" t="str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13"/>
      <x:c r="B31" s="118" t="str"/>
      <x:c r="C31" s="118" t="str"/>
      <x:c r="D31" s="118" t="str">
        <x:v>Reel</x:v>
      </x:c>
      <x:c r="E31" s="118" t="str"/>
      <x:c r="F31" s="118" t="str"/>
      <x:c r="G31" s="119" t="str">
        <x:v>Pendente</x:v>
      </x:c>
      <x:c r="H31" s="119" t="str">
        <x:v>Ideia</x:v>
      </x:c>
      <x:c r="I31" s="120"/>
      <x:c r="J31" s="119" t="str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13"/>
      <x:c r="B32" s="118" t="str"/>
      <x:c r="C32" s="118" t="str"/>
      <x:c r="D32" s="118" t="str">
        <x:v>Reel</x:v>
      </x:c>
      <x:c r="E32" s="118" t="str"/>
      <x:c r="F32" s="118" t="str"/>
      <x:c r="G32" s="119" t="str">
        <x:v>Pendente</x:v>
      </x:c>
      <x:c r="H32" s="119" t="str">
        <x:v>Ideia</x:v>
      </x:c>
      <x:c r="I32" s="120"/>
      <x:c r="J32" s="119" t="str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13"/>
      <x:c r="B33" s="118" t="str"/>
      <x:c r="C33" s="118" t="str"/>
      <x:c r="D33" s="118" t="str">
        <x:v>Reel</x:v>
      </x:c>
      <x:c r="E33" s="118" t="str"/>
      <x:c r="F33" s="118" t="str"/>
      <x:c r="G33" s="119" t="str">
        <x:v>Pendente</x:v>
      </x:c>
      <x:c r="H33" s="119" t="str">
        <x:v>Ideia</x:v>
      </x:c>
      <x:c r="I33" s="120"/>
      <x:c r="J33" s="119" t="str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13"/>
      <x:c r="B34" s="118" t="str"/>
      <x:c r="C34" s="118" t="str"/>
      <x:c r="D34" s="118" t="str">
        <x:v>Reel</x:v>
      </x:c>
      <x:c r="E34" s="118" t="str"/>
      <x:c r="F34" s="118" t="str"/>
      <x:c r="G34" s="119" t="str">
        <x:v>Pendente</x:v>
      </x:c>
      <x:c r="H34" s="119" t="str">
        <x:v>Ideia</x:v>
      </x:c>
      <x:c r="I34" s="120"/>
      <x:c r="J34" s="119" t="str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13"/>
      <x:c r="B35" s="118" t="str"/>
      <x:c r="C35" s="118" t="str"/>
      <x:c r="D35" s="118" t="str">
        <x:v>Reel</x:v>
      </x:c>
      <x:c r="E35" s="118" t="str"/>
      <x:c r="F35" s="118" t="str"/>
      <x:c r="G35" s="119" t="str">
        <x:v>Pendente</x:v>
      </x:c>
      <x:c r="H35" s="119" t="str">
        <x:v>Ideia</x:v>
      </x:c>
      <x:c r="I35" s="120"/>
      <x:c r="J35" s="119" t="str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13"/>
      <x:c r="B36" s="118" t="str"/>
      <x:c r="C36" s="118" t="str"/>
      <x:c r="D36" s="118" t="str">
        <x:v>Reel</x:v>
      </x:c>
      <x:c r="E36" s="118" t="str"/>
      <x:c r="F36" s="118" t="str"/>
      <x:c r="G36" s="119" t="str">
        <x:v>Pendente</x:v>
      </x:c>
      <x:c r="H36" s="119" t="str">
        <x:v>Ideia</x:v>
      </x:c>
      <x:c r="I36" s="120"/>
      <x:c r="J36" s="119" t="str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13"/>
      <x:c r="B37" s="118" t="str"/>
      <x:c r="C37" s="118" t="str"/>
      <x:c r="D37" s="118" t="str">
        <x:v>Reel</x:v>
      </x:c>
      <x:c r="E37" s="118" t="str"/>
      <x:c r="F37" s="118" t="str"/>
      <x:c r="G37" s="119" t="str">
        <x:v>Pendente</x:v>
      </x:c>
      <x:c r="H37" s="119" t="str">
        <x:v>Ideia</x:v>
      </x:c>
      <x:c r="I37" s="120"/>
      <x:c r="J37" s="119" t="str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13"/>
      <x:c r="B38" s="118" t="str"/>
      <x:c r="C38" s="118" t="str"/>
      <x:c r="D38" s="118" t="str">
        <x:v>Reel</x:v>
      </x:c>
      <x:c r="E38" s="118" t="str"/>
      <x:c r="F38" s="118" t="str"/>
      <x:c r="G38" s="119" t="str">
        <x:v>Pendente</x:v>
      </x:c>
      <x:c r="H38" s="119" t="str">
        <x:v>Ideia</x:v>
      </x:c>
      <x:c r="I38" s="120"/>
      <x:c r="J38" s="119" t="str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13"/>
      <x:c r="B39" s="118" t="str"/>
      <x:c r="C39" s="118" t="str"/>
      <x:c r="D39" s="118" t="str">
        <x:v>Reel</x:v>
      </x:c>
      <x:c r="E39" s="118" t="str"/>
      <x:c r="F39" s="118" t="str"/>
      <x:c r="G39" s="119" t="str">
        <x:v>Pendente</x:v>
      </x:c>
      <x:c r="H39" s="119" t="str">
        <x:v>Ideia</x:v>
      </x:c>
      <x:c r="I39" s="120"/>
      <x:c r="J39" s="119" t="str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13"/>
      <x:c r="B40" s="118" t="str"/>
      <x:c r="C40" s="118" t="str"/>
      <x:c r="D40" s="118" t="str">
        <x:v>Reel</x:v>
      </x:c>
      <x:c r="E40" s="118" t="str"/>
      <x:c r="F40" s="118" t="str"/>
      <x:c r="G40" s="119" t="str">
        <x:v>Pendente</x:v>
      </x:c>
      <x:c r="H40" s="119" t="str">
        <x:v>Ideia</x:v>
      </x:c>
      <x:c r="I40" s="120"/>
      <x:c r="J40" s="119" t="str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13"/>
      <x:c r="B41" s="118" t="str"/>
      <x:c r="C41" s="118" t="str"/>
      <x:c r="D41" s="118" t="str">
        <x:v>Reel</x:v>
      </x:c>
      <x:c r="E41" s="118" t="str"/>
      <x:c r="F41" s="118" t="str"/>
      <x:c r="G41" s="119" t="str">
        <x:v>Pendente</x:v>
      </x:c>
      <x:c r="H41" s="119" t="str">
        <x:v>Ideia</x:v>
      </x:c>
      <x:c r="I41" s="120"/>
      <x:c r="J41" s="119" t="str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13"/>
      <x:c r="B42" s="118" t="str"/>
      <x:c r="C42" s="118" t="str"/>
      <x:c r="D42" s="118" t="str">
        <x:v>Reel</x:v>
      </x:c>
      <x:c r="E42" s="118" t="str"/>
      <x:c r="F42" s="118" t="str"/>
      <x:c r="G42" s="119" t="str">
        <x:v>Pendente</x:v>
      </x:c>
      <x:c r="H42" s="119" t="str">
        <x:v>Ideia</x:v>
      </x:c>
      <x:c r="I42" s="120"/>
      <x:c r="J42" s="119" t="str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13"/>
      <x:c r="B43" s="118" t="str"/>
      <x:c r="C43" s="118" t="str"/>
      <x:c r="D43" s="118" t="str">
        <x:v>Reel</x:v>
      </x:c>
      <x:c r="E43" s="118" t="str"/>
      <x:c r="F43" s="118" t="str"/>
      <x:c r="G43" s="119" t="str">
        <x:v>Pendente</x:v>
      </x:c>
      <x:c r="H43" s="119" t="str">
        <x:v>Ideia</x:v>
      </x:c>
      <x:c r="I43" s="120"/>
      <x:c r="J43" s="119" t="str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13"/>
      <x:c r="B44" s="118" t="str"/>
      <x:c r="C44" s="118" t="str"/>
      <x:c r="D44" s="118" t="str">
        <x:v>Reel</x:v>
      </x:c>
      <x:c r="E44" s="118" t="str"/>
      <x:c r="F44" s="118" t="str"/>
      <x:c r="G44" s="119" t="str">
        <x:v>Pendente</x:v>
      </x:c>
      <x:c r="H44" s="119" t="str">
        <x:v>Ideia</x:v>
      </x:c>
      <x:c r="I44" s="120"/>
      <x:c r="J44" s="119" t="str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14"/>
      <x:c r="B45" s="121" t="str"/>
      <x:c r="C45" s="121" t="str"/>
      <x:c r="D45" s="121" t="str">
        <x:v>Reel</x:v>
      </x:c>
      <x:c r="E45" s="121" t="str"/>
      <x:c r="F45" s="121" t="str"/>
      <x:c r="G45" s="122" t="str">
        <x:v>Pendente</x:v>
      </x:c>
      <x:c r="H45" s="122" t="str">
        <x:v>Ideia</x:v>
      </x:c>
      <x:c r="I45" s="123"/>
      <x:c r="J45" s="122" t="str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mergeCells>
    <x:mergeCell ref="A2:J2"/>
    <x:mergeCell ref="A4:J4"/>
  </x:mergeCells>
  <x:conditionalFormatting sqref="G6:G45">
    <x:cfRule type="containsText" dxfId="7" priority="1" operator="containsText" text="Aprovado"/>
    <x:cfRule type="containsText" dxfId="8" priority="2" operator="containsText" text="Pendente"/>
  </x:conditionalFormatting>
  <x:conditionalFormatting sqref="H6:H45">
    <x:cfRule type="containsText" dxfId="9" priority="3" operator="containsText" text="Publicado"/>
  </x:conditionalFormatting>
  <x:dataValidations count="3">
    <x:dataValidation type="list" sqref="D6:D45">
      <x:formula1>"Reel,Stories,Carrossel,Foto,Artigo,Vídeo institucional"</x:formula1>
    </x:dataValidation>
    <x:dataValidation type="list" sqref="G6:G45">
      <x:formula1>"Pendente,Aprovado,Ajustar,Não se aplica"</x:formula1>
    </x:dataValidation>
    <x:dataValidation type="list" sqref="H6:H45">
      <x:formula1>"Ideia,Roteiro,Gravado,Editado,Programado,Publicado"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40" hidden="0" customWidth="1"/>
    <x:col min="3" max="3" width="18" hidden="0" customWidth="1"/>
    <x:col min="4" max="4" width="42" hidden="0" customWidth="1"/>
    <x:col min="5" max="5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" customHeight="1">
      <x:c r="A2" s="3" t="str">
        <x:v>Fontes oficiais para pesquisa diária</x:v>
      </x:c>
      <x:c r="B2" s="3" t="str">
        <x:v>Fontes oficiais para pesquisa diária</x:v>
      </x:c>
      <x:c r="C2" s="3" t="str">
        <x:v>Fontes oficiais para pesquisa diária</x:v>
      </x:c>
      <x:c r="D2" s="3" t="str">
        <x:v>Fontes oficiais para pesquisa diária</x:v>
      </x:c>
      <x:c r="E2" s="3" t="str">
        <x:v>Fontes oficiais para pesquisa diária</x:v>
      </x:c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4"/>
      <x:c r="B3" s="4"/>
      <x:c r="C3" s="4"/>
      <x:c r="D3" s="4"/>
      <x:c r="E3" s="4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6" t="str">
        <x:v>Fonte</x:v>
      </x:c>
      <x:c r="B4" s="16" t="str">
        <x:v>O que pesquisar</x:v>
      </x:c>
      <x:c r="C4" s="16" t="str">
        <x:v>Frequência</x:v>
      </x:c>
      <x:c r="D4" s="16" t="str">
        <x:v>Endereço</x:v>
      </x:c>
      <x:c r="E4" s="16" t="str">
        <x:v>Entrega esperada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4" customHeight="1">
      <x:c r="A5" s="93" t="str">
        <x:v>Ministério da Previdência Social</x:v>
      </x:c>
      <x:c r="B5" s="81" t="str">
        <x:v>Notícias, alterações normativas e dados</x:v>
      </x:c>
      <x:c r="C5" s="81" t="str">
        <x:v>Diária</x:v>
      </x:c>
      <x:c r="D5" s="81" t="str">
        <x:v>https://www.gov.br/previdencia/pt-br</x:v>
      </x:c>
      <x:c r="E5" s="81" t="str">
        <x:v>Notícia resumida com possível pauta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4" customHeight="1">
      <x:c r="A6" s="94" t="str">
        <x:v>INSS</x:v>
      </x:c>
      <x:c r="B6" s="82" t="str">
        <x:v>Notícias, serviços, orientações e legislação</x:v>
      </x:c>
      <x:c r="C6" s="82" t="str">
        <x:v>Diária</x:v>
      </x:c>
      <x:c r="D6" s="82" t="str">
        <x:v>https://www.gov.br/inss/pt-br</x:v>
      </x:c>
      <x:c r="E6" s="82" t="str">
        <x:v>Informação prática para segurados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4" customHeight="1">
      <x:c r="A7" s="94" t="str">
        <x:v>Portal da Transparência Previdenciária</x:v>
      </x:c>
      <x:c r="B7" s="82" t="str">
        <x:v>Dados de requerimentos, concessões e indeferimentos</x:v>
      </x:c>
      <x:c r="C7" s="82" t="str">
        <x:v>Semanal</x:v>
      </x:c>
      <x:c r="D7" s="82" t="str">
        <x:v>https://www.gov.br/inss/pt-br/portal-de-transparencia</x:v>
      </x:c>
      <x:c r="E7" s="82" t="str">
        <x:v>Dado oficial para Reel ou carrossel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34" customHeight="1">
      <x:c r="A8" s="94" t="str">
        <x:v>Diário Oficial da União</x:v>
      </x:c>
      <x:c r="B8" s="82" t="str">
        <x:v>Leis, decretos, portarias e instruções</x:v>
      </x:c>
      <x:c r="C8" s="82" t="str">
        <x:v>Diária</x:v>
      </x:c>
      <x:c r="D8" s="82" t="str">
        <x:v>https://www.in.gov.br</x:v>
      </x:c>
      <x:c r="E8" s="82" t="str">
        <x:v>Mudança relevante com link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34" customHeight="1">
      <x:c r="A9" s="94" t="str">
        <x:v>STJ</x:v>
      </x:c>
      <x:c r="B9" s="82" t="str">
        <x:v>Repetitivos, temas e decisões previdenciárias</x:v>
      </x:c>
      <x:c r="C9" s="82" t="str">
        <x:v>Diária</x:v>
      </x:c>
      <x:c r="D9" s="82" t="str">
        <x:v>https://www.stj.jus.br</x:v>
      </x:c>
      <x:c r="E9" s="82" t="str">
        <x:v>Decisão conferida para análise jurídica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34" customHeight="1">
      <x:c r="A10" s="94" t="str">
        <x:v>STF</x:v>
      </x:c>
      <x:c r="B10" s="82" t="str">
        <x:v>Temas, repercussão geral e julgamentos</x:v>
      </x:c>
      <x:c r="C10" s="82" t="str">
        <x:v>Semanal</x:v>
      </x:c>
      <x:c r="D10" s="82" t="str">
        <x:v>https://portal.stf.jus.br</x:v>
      </x:c>
      <x:c r="E10" s="82" t="str">
        <x:v>Tema relevante para aprovação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34" customHeight="1">
      <x:c r="A11" s="94" t="str">
        <x:v>CJF e TNU</x:v>
      </x:c>
      <x:c r="B11" s="82" t="str">
        <x:v>Temas representativos e jurisprudência previdenciária</x:v>
      </x:c>
      <x:c r="C11" s="82" t="str">
        <x:v>Diária</x:v>
      </x:c>
      <x:c r="D11" s="82" t="str">
        <x:v>https://www.cjf.jus.br</x:v>
      </x:c>
      <x:c r="E11" s="82" t="str">
        <x:v>Decisão ou tema com número do processo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34" customHeight="1">
      <x:c r="A12" s="94" t="str">
        <x:v>TRF5</x:v>
      </x:c>
      <x:c r="B12" s="82" t="str">
        <x:v>Notícias e jurisprudência regional</x:v>
      </x:c>
      <x:c r="C12" s="82" t="str">
        <x:v>Diária</x:v>
      </x:c>
      <x:c r="D12" s="82" t="str">
        <x:v>https://www.trf5.jus.br</x:v>
      </x:c>
      <x:c r="E12" s="82" t="str">
        <x:v>Decisão regional com link oficial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34" customHeight="1">
      <x:c r="A13" s="95" t="str">
        <x:v>Planalto</x:v>
      </x:c>
      <x:c r="B13" s="83" t="str">
        <x:v>Legislação federal atualizada</x:v>
      </x:c>
      <x:c r="C13" s="83" t="str">
        <x:v>Quando necessário</x:v>
      </x:c>
      <x:c r="D13" s="83" t="str">
        <x:v>https://www.planalto.gov.br/ccivil_03</x:v>
      </x:c>
      <x:c r="E13" s="83" t="str">
        <x:v>Texto legal conferido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32" t="str">
        <x:v>Regra: não publicar decisão judicial apenas com base em manchete. Conferir o inteiro teor ou a informação oficial e submeter à aprovação jurídica.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mergeCells>
    <x:mergeCell ref="A2:E2"/>
    <x:mergeCell ref="A15:E15"/>
  </x:mergeCells>
  <x:pageMargins left="0.7" right="0.7" top="0.75" bottom="0.75" header="0.3" footer="0.3"/>
</x:worksheet>
</file>